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ut\AppData\Local\Temp\claude\simwork\"/>
    </mc:Choice>
  </mc:AlternateContent>
  <xr:revisionPtr revIDLastSave="0" documentId="8_{C72BC300-F7F6-48DB-9DA7-4D4B8F53A897}" xr6:coauthVersionLast="47" xr6:coauthVersionMax="47" xr10:uidLastSave="{00000000-0000-0000-0000-000000000000}"/>
  <bookViews>
    <workbookView xWindow="1900" yWindow="1900" windowWidth="19200" windowHeight="11170" xr2:uid="{00000000-000D-0000-FFFF-FFFF00000000}"/>
  </bookViews>
  <sheets>
    <sheet name="Readme" sheetId="1" r:id="rId1"/>
    <sheet name="Config" sheetId="2" r:id="rId2"/>
    <sheet name="query" sheetId="3" r:id="rId3"/>
  </sheets>
  <definedNames>
    <definedName name="CountryDialCodes">tblCountries[DialCode]</definedName>
    <definedName name="CountryNames">tblCountries[Name]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 i="3" l="1"/>
  <c r="AA3" i="3"/>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Z2" i="3"/>
  <c r="Z3" i="3"/>
  <c r="Z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Y2" i="3"/>
  <c r="Y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X2" i="3"/>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W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V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T2" i="3"/>
  <c r="AB2" i="3" s="1"/>
  <c r="T3" i="3"/>
  <c r="AB3" i="3" s="1"/>
  <c r="T4" i="3"/>
  <c r="AB4" i="3" s="1"/>
  <c r="T5" i="3"/>
  <c r="AB5" i="3" s="1"/>
  <c r="T6" i="3"/>
  <c r="AB6" i="3" s="1"/>
  <c r="T7" i="3"/>
  <c r="AB7" i="3" s="1"/>
  <c r="T8" i="3"/>
  <c r="AB8" i="3" s="1"/>
  <c r="T9" i="3"/>
  <c r="AB9" i="3" s="1"/>
  <c r="T10" i="3"/>
  <c r="AB10" i="3" s="1"/>
  <c r="T11" i="3"/>
  <c r="AB11" i="3" s="1"/>
  <c r="T12" i="3"/>
  <c r="AB12" i="3" s="1"/>
  <c r="T13" i="3"/>
  <c r="AB13" i="3" s="1"/>
  <c r="T14" i="3"/>
  <c r="AB14" i="3" s="1"/>
  <c r="T15" i="3"/>
  <c r="AB15" i="3" s="1"/>
  <c r="T16" i="3"/>
  <c r="AB16" i="3" s="1"/>
  <c r="T17" i="3"/>
  <c r="AB17" i="3" s="1"/>
  <c r="T18" i="3"/>
  <c r="AB18" i="3" s="1"/>
  <c r="T19" i="3"/>
  <c r="AB19" i="3" s="1"/>
  <c r="T20" i="3"/>
  <c r="AB20" i="3" s="1"/>
  <c r="T21" i="3"/>
  <c r="AB21" i="3" s="1"/>
  <c r="T22" i="3"/>
  <c r="AB22" i="3" s="1"/>
  <c r="T23" i="3"/>
  <c r="AB23" i="3" s="1"/>
  <c r="T24" i="3"/>
  <c r="AB24" i="3" s="1"/>
  <c r="T25" i="3"/>
  <c r="AB25" i="3" s="1"/>
  <c r="T26" i="3"/>
  <c r="AB26" i="3" s="1"/>
  <c r="T27" i="3"/>
  <c r="AB27" i="3" s="1"/>
  <c r="T28" i="3"/>
  <c r="AB28" i="3" s="1"/>
  <c r="T29" i="3"/>
  <c r="AB29" i="3" s="1"/>
  <c r="T30" i="3"/>
  <c r="AB30" i="3" s="1"/>
  <c r="T31" i="3"/>
  <c r="AB31" i="3" s="1"/>
  <c r="T32" i="3"/>
  <c r="AB32" i="3" s="1"/>
  <c r="T33" i="3"/>
  <c r="AB33" i="3" s="1"/>
  <c r="T34" i="3"/>
  <c r="AB34" i="3" s="1"/>
  <c r="T35" i="3"/>
  <c r="AB35"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Setup</author>
  </authors>
  <commentList>
    <comment ref="E1" authorId="0" shapeId="0" xr:uid="{00000000-0006-0000-0100-000001000000}">
      <text>
        <r>
          <rPr>
            <sz val="11"/>
            <color theme="1"/>
            <rFont val="Calibri"/>
            <family val="2"/>
            <scheme val="minor"/>
          </rPr>
          <t>DialCode is digits only (e.g. 40), no '+'.
The check formula converts it with TEXT(...,"0") before comparing.</t>
        </r>
      </text>
    </comment>
  </commentList>
</comments>
</file>

<file path=xl/sharedStrings.xml><?xml version="1.0" encoding="utf-8"?>
<sst xmlns="http://schemas.openxmlformats.org/spreadsheetml/2006/main" count="1187" uniqueCount="1011">
  <si>
    <t>SIM data validation - working demo</t>
  </si>
  <si>
    <t>What to try</t>
  </si>
  <si>
    <t>Go to the 'query' sheet and edit PhoneNr, ICC_ID, StartDate, Status, SIM Type or IMEI. Valid entries turn green, broken ones red, and the matching check column tells you exactly what is wrong. RowErrors (column AB) collects every problem in the row on one line.</t>
  </si>
  <si>
    <t>The 33 sample rows exercise every rule. The grey notes to the right of the table say what each row is testing - delete that column and the sample rows before you use this for real.</t>
  </si>
  <si>
    <t>Colour code - the same three colours everywhere</t>
  </si>
  <si>
    <t>Green  = OK</t>
  </si>
  <si>
    <t>Red    = the value is wrong and someone has to fix it</t>
  </si>
  <si>
    <t>Amber  = WARNING. Probably wrong, but not certainly - see below.</t>
  </si>
  <si>
    <t>Every warning message starts with the literal text 'WARNING:', and that prefix is what the amber conditional-formatting rule tests. If you add your own warnings later, keep the prefix and they will colour themselves.</t>
  </si>
  <si>
    <t>PhoneNr  -&gt;  IsPhoneValid (col T), via PhoneClean (col V)</t>
  </si>
  <si>
    <t>Strips  +  space  nbsp  -  (  )  .  and converts a leading 00 to bare digits.</t>
  </si>
  <si>
    <t>Digits only, then length 8-15, then must start with the SIM_Country dial code.</t>
  </si>
  <si>
    <t>AMBER when SIM_Country is blank or not in tblCountries - the number itself may be fine, so the fix belongs in the country cell or the Config sheet, not the phone number.</t>
  </si>
  <si>
    <t>ICC_ID  -&gt;  ICC_Check (col W)</t>
  </si>
  <si>
    <t>Digits only - no +, -, spaces or anything else.</t>
  </si>
  <si>
    <t>Must start with 89 (the ITU-T E.118 telecom prefix).</t>
  </si>
  <si>
    <t>Length 18-22.</t>
  </si>
  <si>
    <t>AMBER when the Luhn check digit does not match. An ICCID's last digit is a Luhn checksum over the preceding ones, so this catches single-digit typos and transposed pairs that length and prefix checks sail straight past. It is amber rather than red because some test and pre-production SIMs genuinely do not comply.</t>
  </si>
  <si>
    <t>HARD ERROR if the cell holds a NUMBER rather than text. Excel carries only 15 significant digits, so an 18-22 digit ICCID typed into a General cell is silently truncated - 8935201234567890123 becomes 8935201234567900000. The column is preformatted as Text here; do the same in your own file BEFORE any data goes in, because by the time you see the error the digits are already gone.</t>
  </si>
  <si>
    <t>IMEI  -&gt;  IMEI_Check (col X)</t>
  </si>
  <si>
    <t>Digits only, exactly 15 digits.</t>
  </si>
  <si>
    <t>AMBER on a Luhn mismatch. You did not ask for this one - an IMEI's 15th digit is also a Luhn check digit, and the formula was already written for ICC_ID, so it costs nothing. Delete that branch of the formula if you don't want it.</t>
  </si>
  <si>
    <t>StartDate  -&gt;  Date_Check (col Y)</t>
  </si>
  <si>
    <t>Text must be exactly 10 characters: dd-mm-yyyy. '5-3-2026' is rejected - pad to '05-03-2026'.</t>
  </si>
  <si>
    <t>Separators may be  -  or  /  or  .  but both must be the same character.</t>
  </si>
  <si>
    <t>Day 1-31, month 1-12, year 2000-2100, and it must be a real calendar date, so 31-02-2026 is caught.</t>
  </si>
  <si>
    <t>AMBER when a real date falls outside 2000-01-01 .. today+2 years. That is the usual fingerprint of a day/month mix-up that Excel already swallowed.</t>
  </si>
  <si>
    <t>THE LIMIT WORTH KNOWING: once Excel has parsed an entry into a real date, the original typing order is gone and nothing in the sheet can recover it. If your locale is en-US, typing 15-03-2026 gives 15 March, but 03-04-2026 gives 3 APRIL, not 3 April - it becomes March 4th, silently, and the check formula sees a perfectly ordinary date. Formatting the column as Text before entry is the only real defence. Keeping the column Text also makes the strict dd-mm-yyyy check above do all the work.</t>
  </si>
  <si>
    <t>Status  -&gt;  Status_Check (col Z)   and   SIM Type  -&gt;  SIMType_Check (col AA)</t>
  </si>
  <si>
    <t>Allowed values live on the Config sheet in G2:G4 and H2:H3. Edit them there.</t>
  </si>
  <si>
    <t>Both columns have a dropdown, so normal typing cannot go wrong.</t>
  </si>
  <si>
    <t>Matching is CASE-SENSITIVE via EXACT(). 'active' is not 'Active'.</t>
  </si>
  <si>
    <t>AMBER for right value, wrong capitalisation - the message names the correct spelling. RED for a value that is not on the list at all. This split matters for pasted data, which is the only way wrong casing gets in.</t>
  </si>
  <si>
    <t>RowErrors (col AB)</t>
  </si>
  <si>
    <t>Every non-OK check in the row, concatenated and separated by  //  . Filter this column for 'is not equal to OK' to pull the whole worklist in one go. Built with plain concatenation rather than TEXTJOIN so it works in Excel 2016 too.</t>
  </si>
  <si>
    <t>Three Excel constraints that shaped all of this</t>
  </si>
  <si>
    <t>1. Data Validation cannot read the check columns. At the moment validation fires, the check column still holds the result for the PREVIOUS value - the sheet has not recalculated. So each DV rule carries its own simplified copy of the logic. The DV rules are deliberately looser than the check formulas; they are a courtesy popup, not the enforcement.</t>
  </si>
  <si>
    <t>2. Data Validation never fires on pasted data, on fill-down, or from a macro. The conditional formatting does, on every recalculation. Treat the colours as the real net.</t>
  </si>
  <si>
    <t>Formula notes</t>
  </si>
  <si>
    <t>The digits-only test is SUMPRODUCT(--ISNUMBER(--MID(x,ROW(INDIRECT("1:"&amp;LEN(x))),1)))=LEN(x) - a true per-character test. It replaces the ISNUMBER(x+0) trick used in the first version, which would have accepted oddities like '1E5'.</t>
  </si>
  <si>
    <t>Luhn is computed with arithmetic only, no IF(), so it needs no Ctrl+Shift+Enter in older Excel.</t>
  </si>
  <si>
    <t>INDEX/MATCH rather than XLOOKUP, nested IF rather than IFS, no LET - so everything runs on Excel 2016 and 2019 as well as 365.</t>
  </si>
  <si>
    <t>Rules NOT implemented - decide if you need them</t>
  </si>
  <si>
    <t>Shared dial codes: +1 is the US, Canada and much of the Caribbean; +7 is Russia and Kazakhstan. A US number validates cleanly as Canada.</t>
  </si>
  <si>
    <t>Trunk zeros: '+40 0712...' (dial code plus a national leading 0) passes the dial-code test but is not valid E.164.</t>
  </si>
  <si>
    <t>Phone length 8-15 is global. Real national numbering plans are narrower and vary by country - add MinLen/MaxLen columns to tblCountries if you need that precision.</t>
  </si>
  <si>
    <t>ICC_ID country consistency: digits 3-4 of an ICCID are the Mobile Country Code, which could be cross-checked against SIM_Country. Not done - it needs an MCC column in tblCountries.</t>
  </si>
  <si>
    <t>No cross-field rules, e.g. eSIM rows arguably should not carry an IMEI, and a Deactivated row might be expected to have an end date.</t>
  </si>
  <si>
    <t>No uniqueness check on ICC_ID, IMEI, PhoneNr or ID. Say the word - it is a COUNTIF away.</t>
  </si>
  <si>
    <t>Name</t>
  </si>
  <si>
    <t>Alpha2</t>
  </si>
  <si>
    <t>Alpha3</t>
  </si>
  <si>
    <t>Num</t>
  </si>
  <si>
    <t>DialCode</t>
  </si>
  <si>
    <t>Status (allowed)</t>
  </si>
  <si>
    <t>SIM Type (allowed)</t>
  </si>
  <si>
    <t>Afghanistan</t>
  </si>
  <si>
    <t>AF</t>
  </si>
  <si>
    <t>AFG</t>
  </si>
  <si>
    <t>Active</t>
  </si>
  <si>
    <t>eSIM</t>
  </si>
  <si>
    <t>Aland Islands</t>
  </si>
  <si>
    <t>AX</t>
  </si>
  <si>
    <t>ALA</t>
  </si>
  <si>
    <t>Deactivated</t>
  </si>
  <si>
    <t>Physical SIM</t>
  </si>
  <si>
    <t>Albania</t>
  </si>
  <si>
    <t>AL</t>
  </si>
  <si>
    <t>ALB</t>
  </si>
  <si>
    <t>Suspended</t>
  </si>
  <si>
    <t>Algeria</t>
  </si>
  <si>
    <t>DZ</t>
  </si>
  <si>
    <t>DZA</t>
  </si>
  <si>
    <t>American Samoa</t>
  </si>
  <si>
    <t>AS</t>
  </si>
  <si>
    <t>ASM</t>
  </si>
  <si>
    <t>These two lists are referenced by the dropdowns and the check formulas</t>
  </si>
  <si>
    <t>Andorra</t>
  </si>
  <si>
    <t>AD</t>
  </si>
  <si>
    <t>AND</t>
  </si>
  <si>
    <t>on the query sheet. Edit the values here, not on the query sheet.</t>
  </si>
  <si>
    <t>Angola</t>
  </si>
  <si>
    <t>AO</t>
  </si>
  <si>
    <t>AGO</t>
  </si>
  <si>
    <t>Anguilla</t>
  </si>
  <si>
    <t>AI</t>
  </si>
  <si>
    <t>AIA</t>
  </si>
  <si>
    <t>Antarctica</t>
  </si>
  <si>
    <t>AQ</t>
  </si>
  <si>
    <t>ATA</t>
  </si>
  <si>
    <t>Antigua and Barbuda</t>
  </si>
  <si>
    <t>AG</t>
  </si>
  <si>
    <t>ATG</t>
  </si>
  <si>
    <t>Argentina</t>
  </si>
  <si>
    <t>AR</t>
  </si>
  <si>
    <t>ARG</t>
  </si>
  <si>
    <t>Armenia</t>
  </si>
  <si>
    <t>AM</t>
  </si>
  <si>
    <t>ARM</t>
  </si>
  <si>
    <t>Aruba</t>
  </si>
  <si>
    <t>AW</t>
  </si>
  <si>
    <t>ABW</t>
  </si>
  <si>
    <t>Australia</t>
  </si>
  <si>
    <t>AU</t>
  </si>
  <si>
    <t>AUS</t>
  </si>
  <si>
    <t>Austria</t>
  </si>
  <si>
    <t>AT</t>
  </si>
  <si>
    <t>AUT</t>
  </si>
  <si>
    <t>Azerbaijan</t>
  </si>
  <si>
    <t>AZ</t>
  </si>
  <si>
    <t>AZE</t>
  </si>
  <si>
    <t>Bahamas</t>
  </si>
  <si>
    <t>BS</t>
  </si>
  <si>
    <t>BHS</t>
  </si>
  <si>
    <t>Bahrain</t>
  </si>
  <si>
    <t>BH</t>
  </si>
  <si>
    <t>BHR</t>
  </si>
  <si>
    <t>Bangladesh</t>
  </si>
  <si>
    <t>BD</t>
  </si>
  <si>
    <t>BGD</t>
  </si>
  <si>
    <t>Barbados</t>
  </si>
  <si>
    <t>BB</t>
  </si>
  <si>
    <t>BRB</t>
  </si>
  <si>
    <t>Belarus</t>
  </si>
  <si>
    <t>BY</t>
  </si>
  <si>
    <t>BLR</t>
  </si>
  <si>
    <t>Belgium</t>
  </si>
  <si>
    <t>BE</t>
  </si>
  <si>
    <t>BEL</t>
  </si>
  <si>
    <t>Belize</t>
  </si>
  <si>
    <t>BZ</t>
  </si>
  <si>
    <t>BLZ</t>
  </si>
  <si>
    <t>Benin</t>
  </si>
  <si>
    <t>BJ</t>
  </si>
  <si>
    <t>BEN</t>
  </si>
  <si>
    <t>Bermuda</t>
  </si>
  <si>
    <t>BM</t>
  </si>
  <si>
    <t>BMU</t>
  </si>
  <si>
    <t>Bhutan</t>
  </si>
  <si>
    <t>BT</t>
  </si>
  <si>
    <t>BTN</t>
  </si>
  <si>
    <t>Bolivia</t>
  </si>
  <si>
    <t>BO</t>
  </si>
  <si>
    <t>BOL</t>
  </si>
  <si>
    <t>Bonaire, Sint Eustatius and Saba</t>
  </si>
  <si>
    <t>BQ</t>
  </si>
  <si>
    <t>BES</t>
  </si>
  <si>
    <t>Bosnia and Herzegovina</t>
  </si>
  <si>
    <t>BA</t>
  </si>
  <si>
    <t>BIH</t>
  </si>
  <si>
    <t>Botswana</t>
  </si>
  <si>
    <t>BW</t>
  </si>
  <si>
    <t>BWA</t>
  </si>
  <si>
    <t>Bouvet Island</t>
  </si>
  <si>
    <t>BV</t>
  </si>
  <si>
    <t>BVT</t>
  </si>
  <si>
    <t>Brazil</t>
  </si>
  <si>
    <t>BR</t>
  </si>
  <si>
    <t>BRA</t>
  </si>
  <si>
    <t>British Indian Ocean Territory</t>
  </si>
  <si>
    <t>IO</t>
  </si>
  <si>
    <t>IOT</t>
  </si>
  <si>
    <t>British Virgin Islands</t>
  </si>
  <si>
    <t>VG</t>
  </si>
  <si>
    <t>VGB</t>
  </si>
  <si>
    <t>Brunei</t>
  </si>
  <si>
    <t>BN</t>
  </si>
  <si>
    <t>BRN</t>
  </si>
  <si>
    <t>Bulgaria</t>
  </si>
  <si>
    <t>BG</t>
  </si>
  <si>
    <t>BGR</t>
  </si>
  <si>
    <t>Burkina Faso</t>
  </si>
  <si>
    <t>BF</t>
  </si>
  <si>
    <t>BFA</t>
  </si>
  <si>
    <t>Burundi</t>
  </si>
  <si>
    <t>BI</t>
  </si>
  <si>
    <t>BDI</t>
  </si>
  <si>
    <t>Cabo Verde</t>
  </si>
  <si>
    <t>CV</t>
  </si>
  <si>
    <t>CPV</t>
  </si>
  <si>
    <t>Cambodia</t>
  </si>
  <si>
    <t>KH</t>
  </si>
  <si>
    <t>KHM</t>
  </si>
  <si>
    <t>Cameroon</t>
  </si>
  <si>
    <t>CM</t>
  </si>
  <si>
    <t>CMR</t>
  </si>
  <si>
    <t>Canada</t>
  </si>
  <si>
    <t>CA</t>
  </si>
  <si>
    <t>CAN</t>
  </si>
  <si>
    <t>Cayman Islands</t>
  </si>
  <si>
    <t>KY</t>
  </si>
  <si>
    <t>CYM</t>
  </si>
  <si>
    <t>Central African Republic</t>
  </si>
  <si>
    <t>CF</t>
  </si>
  <si>
    <t>CAF</t>
  </si>
  <si>
    <t>Chad</t>
  </si>
  <si>
    <t>TD</t>
  </si>
  <si>
    <t>TCD</t>
  </si>
  <si>
    <t>Chile</t>
  </si>
  <si>
    <t>CL</t>
  </si>
  <si>
    <t>CHL</t>
  </si>
  <si>
    <t>China</t>
  </si>
  <si>
    <t>CN</t>
  </si>
  <si>
    <t>CHN</t>
  </si>
  <si>
    <t>Christmas Island</t>
  </si>
  <si>
    <t>CX</t>
  </si>
  <si>
    <t>CXR</t>
  </si>
  <si>
    <t>Cocos (Keeling) Islands</t>
  </si>
  <si>
    <t>CC</t>
  </si>
  <si>
    <t>CCK</t>
  </si>
  <si>
    <t>Colombia</t>
  </si>
  <si>
    <t>CO</t>
  </si>
  <si>
    <t>COL</t>
  </si>
  <si>
    <t>Comoros</t>
  </si>
  <si>
    <t>KM</t>
  </si>
  <si>
    <t>COM</t>
  </si>
  <si>
    <t>Congo</t>
  </si>
  <si>
    <t>CG</t>
  </si>
  <si>
    <t>COG</t>
  </si>
  <si>
    <t>Congo, Democratic Republic of the</t>
  </si>
  <si>
    <t>CD</t>
  </si>
  <si>
    <t>COD</t>
  </si>
  <si>
    <t>Cook Islands</t>
  </si>
  <si>
    <t>CK</t>
  </si>
  <si>
    <t>COK</t>
  </si>
  <si>
    <t>Costa Rica</t>
  </si>
  <si>
    <t>CR</t>
  </si>
  <si>
    <t>CRI</t>
  </si>
  <si>
    <t>Cote d'Ivoire</t>
  </si>
  <si>
    <t>CI</t>
  </si>
  <si>
    <t>CIV</t>
  </si>
  <si>
    <t>Croatia</t>
  </si>
  <si>
    <t>HR</t>
  </si>
  <si>
    <t>HRV</t>
  </si>
  <si>
    <t>Cuba</t>
  </si>
  <si>
    <t>CU</t>
  </si>
  <si>
    <t>CUB</t>
  </si>
  <si>
    <t>Curacao</t>
  </si>
  <si>
    <t>CW</t>
  </si>
  <si>
    <t>CUW</t>
  </si>
  <si>
    <t>Cyprus</t>
  </si>
  <si>
    <t>CY</t>
  </si>
  <si>
    <t>CYP</t>
  </si>
  <si>
    <t>Czechia</t>
  </si>
  <si>
    <t>CZ</t>
  </si>
  <si>
    <t>CZE</t>
  </si>
  <si>
    <t>Denmark</t>
  </si>
  <si>
    <t>DK</t>
  </si>
  <si>
    <t>DNK</t>
  </si>
  <si>
    <t>Djibouti</t>
  </si>
  <si>
    <t>DJ</t>
  </si>
  <si>
    <t>DJI</t>
  </si>
  <si>
    <t>Dominica</t>
  </si>
  <si>
    <t>DM</t>
  </si>
  <si>
    <t>DMA</t>
  </si>
  <si>
    <t>Dominican Republic</t>
  </si>
  <si>
    <t>DO</t>
  </si>
  <si>
    <t>DOM</t>
  </si>
  <si>
    <t>Ecuador</t>
  </si>
  <si>
    <t>EC</t>
  </si>
  <si>
    <t>ECU</t>
  </si>
  <si>
    <t>Egypt</t>
  </si>
  <si>
    <t>EG</t>
  </si>
  <si>
    <t>EGY</t>
  </si>
  <si>
    <t>El Salvador</t>
  </si>
  <si>
    <t>SV</t>
  </si>
  <si>
    <t>SLV</t>
  </si>
  <si>
    <t>Equatorial Guinea</t>
  </si>
  <si>
    <t>GQ</t>
  </si>
  <si>
    <t>GNQ</t>
  </si>
  <si>
    <t>Eritrea</t>
  </si>
  <si>
    <t>ER</t>
  </si>
  <si>
    <t>ERI</t>
  </si>
  <si>
    <t>Estonia</t>
  </si>
  <si>
    <t>EE</t>
  </si>
  <si>
    <t>EST</t>
  </si>
  <si>
    <t>Eswatini</t>
  </si>
  <si>
    <t>SZ</t>
  </si>
  <si>
    <t>SWZ</t>
  </si>
  <si>
    <t>Ethiopia</t>
  </si>
  <si>
    <t>ET</t>
  </si>
  <si>
    <t>ETH</t>
  </si>
  <si>
    <t>Falkland Islands</t>
  </si>
  <si>
    <t>FK</t>
  </si>
  <si>
    <t>FLK</t>
  </si>
  <si>
    <t>Faroe Islands</t>
  </si>
  <si>
    <t>FO</t>
  </si>
  <si>
    <t>FRO</t>
  </si>
  <si>
    <t>Fiji</t>
  </si>
  <si>
    <t>FJ</t>
  </si>
  <si>
    <t>FJI</t>
  </si>
  <si>
    <t>Finland</t>
  </si>
  <si>
    <t>FI</t>
  </si>
  <si>
    <t>FIN</t>
  </si>
  <si>
    <t>France</t>
  </si>
  <si>
    <t>FR</t>
  </si>
  <si>
    <t>FRA</t>
  </si>
  <si>
    <t>French Guiana</t>
  </si>
  <si>
    <t>GF</t>
  </si>
  <si>
    <t>GUF</t>
  </si>
  <si>
    <t>French Polynesia</t>
  </si>
  <si>
    <t>PF</t>
  </si>
  <si>
    <t>PYF</t>
  </si>
  <si>
    <t>French Southern Territories</t>
  </si>
  <si>
    <t>TF</t>
  </si>
  <si>
    <t>ATF</t>
  </si>
  <si>
    <t>Gabon</t>
  </si>
  <si>
    <t>GA</t>
  </si>
  <si>
    <t>GAB</t>
  </si>
  <si>
    <t>Gambia</t>
  </si>
  <si>
    <t>GM</t>
  </si>
  <si>
    <t>GMB</t>
  </si>
  <si>
    <t>Georgia</t>
  </si>
  <si>
    <t>GE</t>
  </si>
  <si>
    <t>GEO</t>
  </si>
  <si>
    <t>Germany</t>
  </si>
  <si>
    <t>DE</t>
  </si>
  <si>
    <t>DEU</t>
  </si>
  <si>
    <t>Ghana</t>
  </si>
  <si>
    <t>GH</t>
  </si>
  <si>
    <t>GHA</t>
  </si>
  <si>
    <t>Gibraltar</t>
  </si>
  <si>
    <t>GI</t>
  </si>
  <si>
    <t>GIB</t>
  </si>
  <si>
    <t>Greece</t>
  </si>
  <si>
    <t>GR</t>
  </si>
  <si>
    <t>GRC</t>
  </si>
  <si>
    <t>Greenland</t>
  </si>
  <si>
    <t>GL</t>
  </si>
  <si>
    <t>GRL</t>
  </si>
  <si>
    <t>Grenada</t>
  </si>
  <si>
    <t>GD</t>
  </si>
  <si>
    <t>GRD</t>
  </si>
  <si>
    <t>Guadeloupe</t>
  </si>
  <si>
    <t>GP</t>
  </si>
  <si>
    <t>GLP</t>
  </si>
  <si>
    <t>Guam</t>
  </si>
  <si>
    <t>GU</t>
  </si>
  <si>
    <t>GUM</t>
  </si>
  <si>
    <t>Guatemala</t>
  </si>
  <si>
    <t>GT</t>
  </si>
  <si>
    <t>GTM</t>
  </si>
  <si>
    <t>Guernsey</t>
  </si>
  <si>
    <t>GG</t>
  </si>
  <si>
    <t>GGY</t>
  </si>
  <si>
    <t>Guinea</t>
  </si>
  <si>
    <t>GN</t>
  </si>
  <si>
    <t>GIN</t>
  </si>
  <si>
    <t>Guinea-Bissau</t>
  </si>
  <si>
    <t>GW</t>
  </si>
  <si>
    <t>GNB</t>
  </si>
  <si>
    <t>Guyana</t>
  </si>
  <si>
    <t>GY</t>
  </si>
  <si>
    <t>GUY</t>
  </si>
  <si>
    <t>Haiti</t>
  </si>
  <si>
    <t>HT</t>
  </si>
  <si>
    <t>HTI</t>
  </si>
  <si>
    <t>Heard Island and McDonald Islands</t>
  </si>
  <si>
    <t>HM</t>
  </si>
  <si>
    <t>HMD</t>
  </si>
  <si>
    <t>Holy See (Vatican City)</t>
  </si>
  <si>
    <t>VA</t>
  </si>
  <si>
    <t>VAT</t>
  </si>
  <si>
    <t>Honduras</t>
  </si>
  <si>
    <t>HN</t>
  </si>
  <si>
    <t>HND</t>
  </si>
  <si>
    <t>Hong Kong</t>
  </si>
  <si>
    <t>HK</t>
  </si>
  <si>
    <t>HKG</t>
  </si>
  <si>
    <t>Hungary</t>
  </si>
  <si>
    <t>HU</t>
  </si>
  <si>
    <t>HUN</t>
  </si>
  <si>
    <t>Iceland</t>
  </si>
  <si>
    <t>IS</t>
  </si>
  <si>
    <t>ISL</t>
  </si>
  <si>
    <t>India</t>
  </si>
  <si>
    <t>IN</t>
  </si>
  <si>
    <t>IND</t>
  </si>
  <si>
    <t>Indonesia</t>
  </si>
  <si>
    <t>ID</t>
  </si>
  <si>
    <t>IDN</t>
  </si>
  <si>
    <t>Iran</t>
  </si>
  <si>
    <t>IR</t>
  </si>
  <si>
    <t>IRN</t>
  </si>
  <si>
    <t>Iraq</t>
  </si>
  <si>
    <t>IQ</t>
  </si>
  <si>
    <t>IRQ</t>
  </si>
  <si>
    <t>Ireland</t>
  </si>
  <si>
    <t>IE</t>
  </si>
  <si>
    <t>IRL</t>
  </si>
  <si>
    <t>Isle of Man</t>
  </si>
  <si>
    <t>IM</t>
  </si>
  <si>
    <t>IMN</t>
  </si>
  <si>
    <t>Israel</t>
  </si>
  <si>
    <t>IL</t>
  </si>
  <si>
    <t>ISR</t>
  </si>
  <si>
    <t>Italy</t>
  </si>
  <si>
    <t>IT</t>
  </si>
  <si>
    <t>ITA</t>
  </si>
  <si>
    <t>Jamaica</t>
  </si>
  <si>
    <t>JM</t>
  </si>
  <si>
    <t>JAM</t>
  </si>
  <si>
    <t>Japan</t>
  </si>
  <si>
    <t>JP</t>
  </si>
  <si>
    <t>JPN</t>
  </si>
  <si>
    <t>Jersey</t>
  </si>
  <si>
    <t>JE</t>
  </si>
  <si>
    <t>JEY</t>
  </si>
  <si>
    <t>Jordan</t>
  </si>
  <si>
    <t>JO</t>
  </si>
  <si>
    <t>JOR</t>
  </si>
  <si>
    <t>Kazakhstan</t>
  </si>
  <si>
    <t>KZ</t>
  </si>
  <si>
    <t>KAZ</t>
  </si>
  <si>
    <t>Kenya</t>
  </si>
  <si>
    <t>KE</t>
  </si>
  <si>
    <t>KEN</t>
  </si>
  <si>
    <t>Kiribati</t>
  </si>
  <si>
    <t>KI</t>
  </si>
  <si>
    <t>KIR</t>
  </si>
  <si>
    <t>Korea, Democratic People's Republic of</t>
  </si>
  <si>
    <t>KP</t>
  </si>
  <si>
    <t>PRK</t>
  </si>
  <si>
    <t>Korea, Republic of</t>
  </si>
  <si>
    <t>KR</t>
  </si>
  <si>
    <t>KOR</t>
  </si>
  <si>
    <t>Kosovo</t>
  </si>
  <si>
    <t>XK</t>
  </si>
  <si>
    <t>XKX</t>
  </si>
  <si>
    <t>Kuwait</t>
  </si>
  <si>
    <t>KW</t>
  </si>
  <si>
    <t>KWT</t>
  </si>
  <si>
    <t>Kyrgyzstan</t>
  </si>
  <si>
    <t>KG</t>
  </si>
  <si>
    <t>KGZ</t>
  </si>
  <si>
    <t>Laos</t>
  </si>
  <si>
    <t>LA</t>
  </si>
  <si>
    <t>LAO</t>
  </si>
  <si>
    <t>Latvia</t>
  </si>
  <si>
    <t>LV</t>
  </si>
  <si>
    <t>LVA</t>
  </si>
  <si>
    <t>Lebanon</t>
  </si>
  <si>
    <t>LB</t>
  </si>
  <si>
    <t>LBN</t>
  </si>
  <si>
    <t>Lesotho</t>
  </si>
  <si>
    <t>LS</t>
  </si>
  <si>
    <t>LSO</t>
  </si>
  <si>
    <t>Liberia</t>
  </si>
  <si>
    <t>LR</t>
  </si>
  <si>
    <t>LBR</t>
  </si>
  <si>
    <t>Libya</t>
  </si>
  <si>
    <t>LY</t>
  </si>
  <si>
    <t>LBY</t>
  </si>
  <si>
    <t>Liechtenstein</t>
  </si>
  <si>
    <t>LI</t>
  </si>
  <si>
    <t>LIE</t>
  </si>
  <si>
    <t>Lithuania</t>
  </si>
  <si>
    <t>LT</t>
  </si>
  <si>
    <t>LTU</t>
  </si>
  <si>
    <t>Luxembourg</t>
  </si>
  <si>
    <t>LU</t>
  </si>
  <si>
    <t>LUX</t>
  </si>
  <si>
    <t>Macao</t>
  </si>
  <si>
    <t>MO</t>
  </si>
  <si>
    <t>MAC</t>
  </si>
  <si>
    <t>Madagascar</t>
  </si>
  <si>
    <t>MG</t>
  </si>
  <si>
    <t>MDG</t>
  </si>
  <si>
    <t>Malawi</t>
  </si>
  <si>
    <t>MW</t>
  </si>
  <si>
    <t>MWI</t>
  </si>
  <si>
    <t>Malaysia</t>
  </si>
  <si>
    <t>MY</t>
  </si>
  <si>
    <t>MYS</t>
  </si>
  <si>
    <t>Maldives</t>
  </si>
  <si>
    <t>MV</t>
  </si>
  <si>
    <t>MDV</t>
  </si>
  <si>
    <t>Mali</t>
  </si>
  <si>
    <t>ML</t>
  </si>
  <si>
    <t>MLI</t>
  </si>
  <si>
    <t>Malta</t>
  </si>
  <si>
    <t>MT</t>
  </si>
  <si>
    <t>MLT</t>
  </si>
  <si>
    <t>Marshall Islands</t>
  </si>
  <si>
    <t>MH</t>
  </si>
  <si>
    <t>MHL</t>
  </si>
  <si>
    <t>Martinique</t>
  </si>
  <si>
    <t>MQ</t>
  </si>
  <si>
    <t>MTQ</t>
  </si>
  <si>
    <t>Mauritania</t>
  </si>
  <si>
    <t>MR</t>
  </si>
  <si>
    <t>MRT</t>
  </si>
  <si>
    <t>Mauritius</t>
  </si>
  <si>
    <t>MU</t>
  </si>
  <si>
    <t>MUS</t>
  </si>
  <si>
    <t>Mayotte</t>
  </si>
  <si>
    <t>YT</t>
  </si>
  <si>
    <t>MYT</t>
  </si>
  <si>
    <t>Mexico</t>
  </si>
  <si>
    <t>MX</t>
  </si>
  <si>
    <t>MEX</t>
  </si>
  <si>
    <t>Micronesia</t>
  </si>
  <si>
    <t>FM</t>
  </si>
  <si>
    <t>FSM</t>
  </si>
  <si>
    <t>Moldova</t>
  </si>
  <si>
    <t>MD</t>
  </si>
  <si>
    <t>MDA</t>
  </si>
  <si>
    <t>Monaco</t>
  </si>
  <si>
    <t>MC</t>
  </si>
  <si>
    <t>MCO</t>
  </si>
  <si>
    <t>Mongolia</t>
  </si>
  <si>
    <t>MN</t>
  </si>
  <si>
    <t>MNG</t>
  </si>
  <si>
    <t>Montenegro</t>
  </si>
  <si>
    <t>ME</t>
  </si>
  <si>
    <t>MNE</t>
  </si>
  <si>
    <t>Montserrat</t>
  </si>
  <si>
    <t>MS</t>
  </si>
  <si>
    <t>MSR</t>
  </si>
  <si>
    <t>Morocco</t>
  </si>
  <si>
    <t>MA</t>
  </si>
  <si>
    <t>MAR</t>
  </si>
  <si>
    <t>Mozambique</t>
  </si>
  <si>
    <t>MZ</t>
  </si>
  <si>
    <t>MOZ</t>
  </si>
  <si>
    <t>Myanmar</t>
  </si>
  <si>
    <t>MM</t>
  </si>
  <si>
    <t>MMR</t>
  </si>
  <si>
    <t>Namibia</t>
  </si>
  <si>
    <t>NA</t>
  </si>
  <si>
    <t>NAM</t>
  </si>
  <si>
    <t>Nauru</t>
  </si>
  <si>
    <t>NR</t>
  </si>
  <si>
    <t>NRU</t>
  </si>
  <si>
    <t>Nepal</t>
  </si>
  <si>
    <t>NP</t>
  </si>
  <si>
    <t>NPL</t>
  </si>
  <si>
    <t>Netherlands</t>
  </si>
  <si>
    <t>NL</t>
  </si>
  <si>
    <t>NLD</t>
  </si>
  <si>
    <t>New Caledonia</t>
  </si>
  <si>
    <t>NC</t>
  </si>
  <si>
    <t>NCL</t>
  </si>
  <si>
    <t>New Zealand</t>
  </si>
  <si>
    <t>NZ</t>
  </si>
  <si>
    <t>NZL</t>
  </si>
  <si>
    <t>Nicaragua</t>
  </si>
  <si>
    <t>NI</t>
  </si>
  <si>
    <t>NIC</t>
  </si>
  <si>
    <t>Niger</t>
  </si>
  <si>
    <t>NE</t>
  </si>
  <si>
    <t>NER</t>
  </si>
  <si>
    <t>Nigeria</t>
  </si>
  <si>
    <t>NG</t>
  </si>
  <si>
    <t>NGA</t>
  </si>
  <si>
    <t>Niue</t>
  </si>
  <si>
    <t>NU</t>
  </si>
  <si>
    <t>NIU</t>
  </si>
  <si>
    <t>Norfolk Island</t>
  </si>
  <si>
    <t>NF</t>
  </si>
  <si>
    <t>NFK</t>
  </si>
  <si>
    <t>North Macedonia</t>
  </si>
  <si>
    <t>MK</t>
  </si>
  <si>
    <t>MKD</t>
  </si>
  <si>
    <t>Northern Mariana Islands</t>
  </si>
  <si>
    <t>MP</t>
  </si>
  <si>
    <t>MNP</t>
  </si>
  <si>
    <t>Norway</t>
  </si>
  <si>
    <t>NO</t>
  </si>
  <si>
    <t>NOR</t>
  </si>
  <si>
    <t>Oman</t>
  </si>
  <si>
    <t>OM</t>
  </si>
  <si>
    <t>OMN</t>
  </si>
  <si>
    <t>Pakistan</t>
  </si>
  <si>
    <t>PK</t>
  </si>
  <si>
    <t>PAK</t>
  </si>
  <si>
    <t>Palau</t>
  </si>
  <si>
    <t>PW</t>
  </si>
  <si>
    <t>PLW</t>
  </si>
  <si>
    <t>Palestine</t>
  </si>
  <si>
    <t>PS</t>
  </si>
  <si>
    <t>PSE</t>
  </si>
  <si>
    <t>Panama</t>
  </si>
  <si>
    <t>PA</t>
  </si>
  <si>
    <t>PAN</t>
  </si>
  <si>
    <t>Papua New Guinea</t>
  </si>
  <si>
    <t>PG</t>
  </si>
  <si>
    <t>PNG</t>
  </si>
  <si>
    <t>Paraguay</t>
  </si>
  <si>
    <t>PY</t>
  </si>
  <si>
    <t>PRY</t>
  </si>
  <si>
    <t>Peru</t>
  </si>
  <si>
    <t>PE</t>
  </si>
  <si>
    <t>PER</t>
  </si>
  <si>
    <t>Philippines</t>
  </si>
  <si>
    <t>PH</t>
  </si>
  <si>
    <t>PHL</t>
  </si>
  <si>
    <t>Pitcairn</t>
  </si>
  <si>
    <t>PN</t>
  </si>
  <si>
    <t>PCN</t>
  </si>
  <si>
    <t>Poland</t>
  </si>
  <si>
    <t>PL</t>
  </si>
  <si>
    <t>POL</t>
  </si>
  <si>
    <t>Portugal</t>
  </si>
  <si>
    <t>PT</t>
  </si>
  <si>
    <t>PRT</t>
  </si>
  <si>
    <t>Puerto Rico</t>
  </si>
  <si>
    <t>PR</t>
  </si>
  <si>
    <t>PRI</t>
  </si>
  <si>
    <t>Qatar</t>
  </si>
  <si>
    <t>QA</t>
  </si>
  <si>
    <t>QAT</t>
  </si>
  <si>
    <t>Reunion</t>
  </si>
  <si>
    <t>RE</t>
  </si>
  <si>
    <t>REU</t>
  </si>
  <si>
    <t>Romania</t>
  </si>
  <si>
    <t>RO</t>
  </si>
  <si>
    <t>ROU</t>
  </si>
  <si>
    <t>Russia</t>
  </si>
  <si>
    <t>RU</t>
  </si>
  <si>
    <t>RUS</t>
  </si>
  <si>
    <t>Rwanda</t>
  </si>
  <si>
    <t>RW</t>
  </si>
  <si>
    <t>RWA</t>
  </si>
  <si>
    <t>Saint Barthelemy</t>
  </si>
  <si>
    <t>BL</t>
  </si>
  <si>
    <t>BLM</t>
  </si>
  <si>
    <t>Saint Helena, Ascension and Tristan da Cunha</t>
  </si>
  <si>
    <t>SH</t>
  </si>
  <si>
    <t>SHN</t>
  </si>
  <si>
    <t>Saint Kitts and Nevis</t>
  </si>
  <si>
    <t>KN</t>
  </si>
  <si>
    <t>KNA</t>
  </si>
  <si>
    <t>Saint Lucia</t>
  </si>
  <si>
    <t>LC</t>
  </si>
  <si>
    <t>LCA</t>
  </si>
  <si>
    <t>Saint Martin (French part)</t>
  </si>
  <si>
    <t>MF</t>
  </si>
  <si>
    <t>MAF</t>
  </si>
  <si>
    <t>Saint Pierre and Miquelon</t>
  </si>
  <si>
    <t>PM</t>
  </si>
  <si>
    <t>SPM</t>
  </si>
  <si>
    <t>Saint Vincent and the Grenadines</t>
  </si>
  <si>
    <t>VC</t>
  </si>
  <si>
    <t>VCT</t>
  </si>
  <si>
    <t>Samoa</t>
  </si>
  <si>
    <t>WS</t>
  </si>
  <si>
    <t>WSM</t>
  </si>
  <si>
    <t>San Marino</t>
  </si>
  <si>
    <t>SM</t>
  </si>
  <si>
    <t>SMR</t>
  </si>
  <si>
    <t>Sao Tome and Principe</t>
  </si>
  <si>
    <t>ST</t>
  </si>
  <si>
    <t>STP</t>
  </si>
  <si>
    <t>Saudi Arabia</t>
  </si>
  <si>
    <t>SA</t>
  </si>
  <si>
    <t>SAU</t>
  </si>
  <si>
    <t>Senegal</t>
  </si>
  <si>
    <t>SN</t>
  </si>
  <si>
    <t>SEN</t>
  </si>
  <si>
    <t>Serbia</t>
  </si>
  <si>
    <t>RS</t>
  </si>
  <si>
    <t>SRB</t>
  </si>
  <si>
    <t>Seychelles</t>
  </si>
  <si>
    <t>SC</t>
  </si>
  <si>
    <t>SYC</t>
  </si>
  <si>
    <t>Sierra Leone</t>
  </si>
  <si>
    <t>SL</t>
  </si>
  <si>
    <t>SLE</t>
  </si>
  <si>
    <t>Singapore</t>
  </si>
  <si>
    <t>SG</t>
  </si>
  <si>
    <t>SGP</t>
  </si>
  <si>
    <t>Sint Maarten (Dutch part)</t>
  </si>
  <si>
    <t>SX</t>
  </si>
  <si>
    <t>SXM</t>
  </si>
  <si>
    <t>Slovakia</t>
  </si>
  <si>
    <t>SK</t>
  </si>
  <si>
    <t>SVK</t>
  </si>
  <si>
    <t>Slovenia</t>
  </si>
  <si>
    <t>SI</t>
  </si>
  <si>
    <t>SVN</t>
  </si>
  <si>
    <t>Solomon Islands</t>
  </si>
  <si>
    <t>SB</t>
  </si>
  <si>
    <t>SLB</t>
  </si>
  <si>
    <t>Somalia</t>
  </si>
  <si>
    <t>SO</t>
  </si>
  <si>
    <t>SOM</t>
  </si>
  <si>
    <t>South Africa</t>
  </si>
  <si>
    <t>ZA</t>
  </si>
  <si>
    <t>ZAF</t>
  </si>
  <si>
    <t>South Georgia and the South Sandwich Islands</t>
  </si>
  <si>
    <t>GS</t>
  </si>
  <si>
    <t>SGS</t>
  </si>
  <si>
    <t>South Sudan</t>
  </si>
  <si>
    <t>SS</t>
  </si>
  <si>
    <t>SSD</t>
  </si>
  <si>
    <t>Spain</t>
  </si>
  <si>
    <t>ES</t>
  </si>
  <si>
    <t>ESP</t>
  </si>
  <si>
    <t>Sri Lanka</t>
  </si>
  <si>
    <t>LK</t>
  </si>
  <si>
    <t>LKA</t>
  </si>
  <si>
    <t>Sudan</t>
  </si>
  <si>
    <t>SD</t>
  </si>
  <si>
    <t>SDN</t>
  </si>
  <si>
    <t>Suriname</t>
  </si>
  <si>
    <t>SR</t>
  </si>
  <si>
    <t>SUR</t>
  </si>
  <si>
    <t>Svalbard and Jan Mayen</t>
  </si>
  <si>
    <t>SJ</t>
  </si>
  <si>
    <t>SJM</t>
  </si>
  <si>
    <t>Sweden</t>
  </si>
  <si>
    <t>SE</t>
  </si>
  <si>
    <t>SWE</t>
  </si>
  <si>
    <t>Switzerland</t>
  </si>
  <si>
    <t>CH</t>
  </si>
  <si>
    <t>CHE</t>
  </si>
  <si>
    <t>Syria</t>
  </si>
  <si>
    <t>SY</t>
  </si>
  <si>
    <t>SYR</t>
  </si>
  <si>
    <t>Taiwan</t>
  </si>
  <si>
    <t>TW</t>
  </si>
  <si>
    <t>TWN</t>
  </si>
  <si>
    <t>Tajikistan</t>
  </si>
  <si>
    <t>TJ</t>
  </si>
  <si>
    <t>TJK</t>
  </si>
  <si>
    <t>Tanzania</t>
  </si>
  <si>
    <t>TZ</t>
  </si>
  <si>
    <t>TZA</t>
  </si>
  <si>
    <t>Thailand</t>
  </si>
  <si>
    <t>TH</t>
  </si>
  <si>
    <t>THA</t>
  </si>
  <si>
    <t>Timor-Leste</t>
  </si>
  <si>
    <t>TL</t>
  </si>
  <si>
    <t>TLS</t>
  </si>
  <si>
    <t>Togo</t>
  </si>
  <si>
    <t>TG</t>
  </si>
  <si>
    <t>TGO</t>
  </si>
  <si>
    <t>Tokelau</t>
  </si>
  <si>
    <t>TK</t>
  </si>
  <si>
    <t>TKL</t>
  </si>
  <si>
    <t>Tonga</t>
  </si>
  <si>
    <t>TO</t>
  </si>
  <si>
    <t>TON</t>
  </si>
  <si>
    <t>Trinidad and Tobago</t>
  </si>
  <si>
    <t>TT</t>
  </si>
  <si>
    <t>TTO</t>
  </si>
  <si>
    <t>Tunisia</t>
  </si>
  <si>
    <t>TN</t>
  </si>
  <si>
    <t>TUN</t>
  </si>
  <si>
    <t>Turkey</t>
  </si>
  <si>
    <t>TR</t>
  </si>
  <si>
    <t>TUR</t>
  </si>
  <si>
    <t>Turkmenistan</t>
  </si>
  <si>
    <t>TM</t>
  </si>
  <si>
    <t>TKM</t>
  </si>
  <si>
    <t>Turks and Caicos Islands</t>
  </si>
  <si>
    <t>TC</t>
  </si>
  <si>
    <t>TCA</t>
  </si>
  <si>
    <t>Tuvalu</t>
  </si>
  <si>
    <t>TV</t>
  </si>
  <si>
    <t>TUV</t>
  </si>
  <si>
    <t>Uganda</t>
  </si>
  <si>
    <t>UG</t>
  </si>
  <si>
    <t>UGA</t>
  </si>
  <si>
    <t>Ukraine</t>
  </si>
  <si>
    <t>UA</t>
  </si>
  <si>
    <t>UKR</t>
  </si>
  <si>
    <t>United Arab Emirates</t>
  </si>
  <si>
    <t>AE</t>
  </si>
  <si>
    <t>ARE</t>
  </si>
  <si>
    <t>United Kingdom</t>
  </si>
  <si>
    <t>GB</t>
  </si>
  <si>
    <t>GBR</t>
  </si>
  <si>
    <t>United States</t>
  </si>
  <si>
    <t>US</t>
  </si>
  <si>
    <t>USA</t>
  </si>
  <si>
    <t>United States Minor Outlying Islands</t>
  </si>
  <si>
    <t>UM</t>
  </si>
  <si>
    <t>UMI</t>
  </si>
  <si>
    <t>Uruguay</t>
  </si>
  <si>
    <t>UY</t>
  </si>
  <si>
    <t>URY</t>
  </si>
  <si>
    <t>US Virgin Islands</t>
  </si>
  <si>
    <t>VI</t>
  </si>
  <si>
    <t>VIR</t>
  </si>
  <si>
    <t>Uzbekistan</t>
  </si>
  <si>
    <t>UZ</t>
  </si>
  <si>
    <t>UZB</t>
  </si>
  <si>
    <t>Vanuatu</t>
  </si>
  <si>
    <t>VU</t>
  </si>
  <si>
    <t>VUT</t>
  </si>
  <si>
    <t>Venezuela</t>
  </si>
  <si>
    <t>VE</t>
  </si>
  <si>
    <t>VEN</t>
  </si>
  <si>
    <t>Vietnam</t>
  </si>
  <si>
    <t>VN</t>
  </si>
  <si>
    <t>VNM</t>
  </si>
  <si>
    <t>Wallis and Futuna</t>
  </si>
  <si>
    <t>WF</t>
  </si>
  <si>
    <t>WLF</t>
  </si>
  <si>
    <t>Western Sahara</t>
  </si>
  <si>
    <t>EH</t>
  </si>
  <si>
    <t>ESH</t>
  </si>
  <si>
    <t>Yemen</t>
  </si>
  <si>
    <t>YE</t>
  </si>
  <si>
    <t>YEM</t>
  </si>
  <si>
    <t>Zambia</t>
  </si>
  <si>
    <t>ZM</t>
  </si>
  <si>
    <t>ZMB</t>
  </si>
  <si>
    <t>Zimbabwe</t>
  </si>
  <si>
    <t>ZW</t>
  </si>
  <si>
    <t>ZWE</t>
  </si>
  <si>
    <t>FirstName</t>
  </si>
  <si>
    <t>LastName</t>
  </si>
  <si>
    <t>PhoneNr</t>
  </si>
  <si>
    <t>Plan</t>
  </si>
  <si>
    <t>ICC_ID</t>
  </si>
  <si>
    <t>GD_ID</t>
  </si>
  <si>
    <t>StartDate</t>
  </si>
  <si>
    <t>SIM_Country</t>
  </si>
  <si>
    <t>Provider</t>
  </si>
  <si>
    <t>CostCenter</t>
  </si>
  <si>
    <t>UBR_Code</t>
  </si>
  <si>
    <t>Legal entity</t>
  </si>
  <si>
    <t>IsVR</t>
  </si>
  <si>
    <t>BAN</t>
  </si>
  <si>
    <t>SOC</t>
  </si>
  <si>
    <t>Status</t>
  </si>
  <si>
    <t>SIM Type</t>
  </si>
  <si>
    <t>Email</t>
  </si>
  <si>
    <t>IsPhoneValid</t>
  </si>
  <si>
    <t>IMEI</t>
  </si>
  <si>
    <t>PhoneClean</t>
  </si>
  <si>
    <t>ICC_Check</t>
  </si>
  <si>
    <t>IMEI_Check</t>
  </si>
  <si>
    <t>Date_Check</t>
  </si>
  <si>
    <t>Status_Check</t>
  </si>
  <si>
    <t>SIMType_Check</t>
  </si>
  <si>
    <t>RowErrors</t>
  </si>
  <si>
    <t>Test case (not part of the table - delete when you are done)</t>
  </si>
  <si>
    <t>Ana</t>
  </si>
  <si>
    <t>Popescu</t>
  </si>
  <si>
    <t>+40712345678</t>
  </si>
  <si>
    <t>8935201234567890125</t>
  </si>
  <si>
    <t>15-03-2026</t>
  </si>
  <si>
    <t>352099001760897</t>
  </si>
  <si>
    <t>PhoneNr: valid, + prefix</t>
  </si>
  <si>
    <t>Mihai</t>
  </si>
  <si>
    <t>Ionescu</t>
  </si>
  <si>
    <t>40712345678</t>
  </si>
  <si>
    <t>893520123456789014</t>
  </si>
  <si>
    <t>01-01-2026</t>
  </si>
  <si>
    <t>861234567890127</t>
  </si>
  <si>
    <t>PhoneNr: valid, bare digits</t>
  </si>
  <si>
    <t>Elena</t>
  </si>
  <si>
    <t>Dumitru</t>
  </si>
  <si>
    <t>0712345678</t>
  </si>
  <si>
    <t>89352012345678901236</t>
  </si>
  <si>
    <t>28-02-2026</t>
  </si>
  <si>
    <t>PhoneNr: national format, no country code</t>
  </si>
  <si>
    <t>Lukas</t>
  </si>
  <si>
    <t>Muller</t>
  </si>
  <si>
    <t>+49 151 1234 5678</t>
  </si>
  <si>
    <t>8935201234567890123451</t>
  </si>
  <si>
    <t>10-06-2025</t>
  </si>
  <si>
    <t>PhoneNr: valid, spaces stripped</t>
  </si>
  <si>
    <t>Claire</t>
  </si>
  <si>
    <t>Dubois</t>
  </si>
  <si>
    <t>0033612345678</t>
  </si>
  <si>
    <t>05-11-2025</t>
  </si>
  <si>
    <t>PhoneNr: valid, 00 prefix converted</t>
  </si>
  <si>
    <t>Sven</t>
  </si>
  <si>
    <t>Jansen</t>
  </si>
  <si>
    <t>+31-6-1234-5678</t>
  </si>
  <si>
    <t>30-04-2026</t>
  </si>
  <si>
    <t>PhoneNr: valid, dashes stripped</t>
  </si>
  <si>
    <t>Marco</t>
  </si>
  <si>
    <t>Rossi</t>
  </si>
  <si>
    <t>+39123</t>
  </si>
  <si>
    <t>PhoneNr: too short</t>
  </si>
  <si>
    <t>Sofia</t>
  </si>
  <si>
    <t>Garcia</t>
  </si>
  <si>
    <t>+34123456789012345</t>
  </si>
  <si>
    <t>PhoneNr: too long</t>
  </si>
  <si>
    <t>James</t>
  </si>
  <si>
    <t>Whitfield</t>
  </si>
  <si>
    <t>+44ABC12345</t>
  </si>
  <si>
    <t>PhoneNr: letters</t>
  </si>
  <si>
    <t>Piotr</t>
  </si>
  <si>
    <t>Kowalski</t>
  </si>
  <si>
    <t>PhoneNr: wrong country code (PL is 48)</t>
  </si>
  <si>
    <t>Nadia</t>
  </si>
  <si>
    <t>Okonkwo</t>
  </si>
  <si>
    <t>Wakanda</t>
  </si>
  <si>
    <t>WARNING: country not in tblCountries</t>
  </si>
  <si>
    <t>Tomas</t>
  </si>
  <si>
    <t>Varga</t>
  </si>
  <si>
    <t>+421912345678</t>
  </si>
  <si>
    <t>WARNING: SIM_Country empty</t>
  </si>
  <si>
    <t>Sarah</t>
  </si>
  <si>
    <t>Bennett</t>
  </si>
  <si>
    <t>+1-202-555-0143</t>
  </si>
  <si>
    <t>PhoneNr: valid, dots/dashes stripped</t>
  </si>
  <si>
    <t>Kenji</t>
  </si>
  <si>
    <t>Tanaka</t>
  </si>
  <si>
    <t>+81 90 1234 5678</t>
  </si>
  <si>
    <t>PhoneNr: valid</t>
  </si>
  <si>
    <t>Ingrid</t>
  </si>
  <si>
    <t>Larsen</t>
  </si>
  <si>
    <t>004791234567</t>
  </si>
  <si>
    <t>Petra</t>
  </si>
  <si>
    <t>Novak</t>
  </si>
  <si>
    <t>+420601234567</t>
  </si>
  <si>
    <t>8935201234567</t>
  </si>
  <si>
    <t>ICC_ID: too short (13, min 18)</t>
  </si>
  <si>
    <t>Ivan</t>
  </si>
  <si>
    <t>Petrov</t>
  </si>
  <si>
    <t>+359881234567</t>
  </si>
  <si>
    <t>89352012345678901234567</t>
  </si>
  <si>
    <t>ICC_ID: too long (23, max 22)</t>
  </si>
  <si>
    <t>Anja</t>
  </si>
  <si>
    <t>Berg</t>
  </si>
  <si>
    <t>+4791234567</t>
  </si>
  <si>
    <t>7935201234567890123</t>
  </si>
  <si>
    <t>ICC_ID: does not start with 89</t>
  </si>
  <si>
    <t>Rui</t>
  </si>
  <si>
    <t>Costa</t>
  </si>
  <si>
    <t>+351912345678</t>
  </si>
  <si>
    <t>8935-2012-3456-7890-123</t>
  </si>
  <si>
    <t>ICC_ID: contains dashes</t>
  </si>
  <si>
    <t>Katri</t>
  </si>
  <si>
    <t>Nieminen</t>
  </si>
  <si>
    <t>+358401234567</t>
  </si>
  <si>
    <t>8935201234567890120</t>
  </si>
  <si>
    <t>ICC_ID: WARNING - Luhn check digit fails</t>
  </si>
  <si>
    <t>Bea</t>
  </si>
  <si>
    <t>Toth</t>
  </si>
  <si>
    <t>+36301234567</t>
  </si>
  <si>
    <t>ICC_ID: valid at max length (22)</t>
  </si>
  <si>
    <t>Omar</t>
  </si>
  <si>
    <t>Haddad</t>
  </si>
  <si>
    <t>+971501234567</t>
  </si>
  <si>
    <t>35209900176089</t>
  </si>
  <si>
    <t>IMEI: only 14 digits</t>
  </si>
  <si>
    <t>Yara</t>
  </si>
  <si>
    <t>Levi</t>
  </si>
  <si>
    <t>+972501234567</t>
  </si>
  <si>
    <t>3520990017608A</t>
  </si>
  <si>
    <t>IMEI: contains a letter</t>
  </si>
  <si>
    <t>Nils</t>
  </si>
  <si>
    <t>Eriksson</t>
  </si>
  <si>
    <t>+46701234567</t>
  </si>
  <si>
    <t>352099001760890</t>
  </si>
  <si>
    <t>IMEI: WARNING - Luhn check digit fails</t>
  </si>
  <si>
    <t>Lena</t>
  </si>
  <si>
    <t>Fischer</t>
  </si>
  <si>
    <t>+4915112345678</t>
  </si>
  <si>
    <t>2026-03-15</t>
  </si>
  <si>
    <t>StartDate: year-month-day, wrong order</t>
  </si>
  <si>
    <t>Hugo</t>
  </si>
  <si>
    <t>Silva</t>
  </si>
  <si>
    <t>+351912345679</t>
  </si>
  <si>
    <t>31-02-2026</t>
  </si>
  <si>
    <t>StartDate: 31 February does not exist</t>
  </si>
  <si>
    <t>Aoife</t>
  </si>
  <si>
    <t>Byrne</t>
  </si>
  <si>
    <t>+353871234567</t>
  </si>
  <si>
    <t>15/03/2026</t>
  </si>
  <si>
    <t>StartDate: slashes accepted, day-month-year</t>
  </si>
  <si>
    <t>Milan</t>
  </si>
  <si>
    <t>Horvat</t>
  </si>
  <si>
    <t>+385911234567</t>
  </si>
  <si>
    <t>StartDate: a real Excel date</t>
  </si>
  <si>
    <t>Eva</t>
  </si>
  <si>
    <t>Kovac</t>
  </si>
  <si>
    <t>+386401234567</t>
  </si>
  <si>
    <t>5-3-2026</t>
  </si>
  <si>
    <t>StartDate: single-digit day/month, not dd-mm-yyyy</t>
  </si>
  <si>
    <t>Jonas</t>
  </si>
  <si>
    <t>Weber</t>
  </si>
  <si>
    <t>+4915112345679</t>
  </si>
  <si>
    <t>active</t>
  </si>
  <si>
    <t>Status: WARNING - wrong capitalisation</t>
  </si>
  <si>
    <t>Marta</t>
  </si>
  <si>
    <t>Ruiz</t>
  </si>
  <si>
    <t>+34612345678</t>
  </si>
  <si>
    <t>Cancelled</t>
  </si>
  <si>
    <t>Status: not an allowed value</t>
  </si>
  <si>
    <t>Finn</t>
  </si>
  <si>
    <t>Olsen</t>
  </si>
  <si>
    <t>+4531234567</t>
  </si>
  <si>
    <t>esim</t>
  </si>
  <si>
    <t>SIM Type: WARNING - wrong capitalisation</t>
  </si>
  <si>
    <t>Zoe</t>
  </si>
  <si>
    <t>Papadopoulos</t>
  </si>
  <si>
    <t>+306901234567</t>
  </si>
  <si>
    <t>Physical</t>
  </si>
  <si>
    <t>SIM Type: not an allowed value</t>
  </si>
  <si>
    <t>Viktor</t>
  </si>
  <si>
    <t>Sokolov</t>
  </si>
  <si>
    <t>+380501234567</t>
  </si>
  <si>
    <t>ICC_ID: stored as a NUMBER - digits already lost</t>
  </si>
  <si>
    <t>3. Structured references (tblCountries[Name]) are rejected inside Data Validation and conditional formatting. Those rules therefore go through two workbook names, CountryNames and CountryDialCodes, which point at the tblCountries columns and grow with the table - add a country as a new row at the bottom of tblCountries and the dropdown, the rules and the check formulas all pick it up, nothing to widen. The Status and SIM Type rules still use the plain ranges Config!$G$2:$G$4 and Config!$H$2:$H$3, which are STATIC.</t>
  </si>
  <si>
    <t>Accepts a real Excel date OR text in day-month-year form, as you asked. The column is formatted as Text - the same format the export script applies - so a typed or pasted 15-03-2026 stays exactly as entered instead of being re-read by Excel in the PC's regional date order.</t>
  </si>
  <si>
    <t>Pasting data in</t>
  </si>
  <si>
    <t>Paste as VALUES (Ctrl+Shift+V, or right-click &gt; Paste Special &gt; Values). A plain Ctrl+V from another workbook brings the source cell's number format, validation and conditional formatting along and overwrites the ones here - that is how a column quietly loses its dropdown or its colours.</t>
  </si>
  <si>
    <t>PhoneNr, ICC_ID, StartDate and IMEI are formatted as Text for the whole column, not only the sample rows, so a values-paste keeps every digit, every leading zero and the day-month order of a date. A plain paste from a General-formatted source does not, and ICC_Check then reports the cell as a NUMBER.</t>
  </si>
  <si>
    <t>Rows pasted directly under the table join it and pick up every check formula - the eight check columns (T and V to AB) are calculated columns. Never paste over those columns.</t>
  </si>
  <si>
    <t>The dropdowns, validation and colours cover the whole column, not just the first 2000 rows.</t>
  </si>
  <si>
    <t>Country list: tblCountries on the Config sheet holds every ISO 3166-1 country and territory plus Kosovo (250 rows). SIM_Country has to match a Name there exactly, capitalisation aside. A country that is missing or misspelt turns the SIM_Country cell amber; one that only differs by stray spaces gets its own message in IsPhoneValid.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</si>
</sst>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d\-mm\-yyyy"/>
  </numFmts>
  <fonts count="8" x14ac:knownFonts="1">
    <font>
      <sz val="11"/>
      <color theme="1"/>
      <name val="Calibri"/>
      <family val="2"/>
      <scheme val="minor"/>
    </font>
    <font>
      <b/>
      <sz val="15"/>
      <color rgb="FF1F3864"/>
      <name val="Arial"/>
    </font>
    <font>
      <sz val="10"/>
      <name val="Arial"/>
    </font>
    <font>
      <b/>
      <sz val="11"/>
      <color rgb="FF2E5496"/>
      <name val="Arial"/>
    </font>
    <font>
      <sz val="10"/>
      <color theme="1"/>
      <name val="Arial"/>
    </font>
    <font>
      <i/>
      <sz val="10"/>
      <color rgb="FF808080"/>
      <name val="Arial"/>
    </font>
    <font>
      <b/>
      <sz val="10"/>
      <color rgb="FFFFFFFF"/>
      <name val="Arial"/>
    </font>
    <font>
      <b/>
      <i/>
      <sz val="9"/>
      <color rgb="FF808080"/>
      <name val="Arial"/>
    </font>
  </fonts>
  <fills count="3">
    <fill>
      <patternFill patternType="none"/>
    </fill>
    <fill>
      <patternFill patternType="gray125"/>
    </fill>
    <fill>
      <patternFill patternType="solid">
        <fgColor rgb="FFD9E2F3"/>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6" fillId="0" borderId="0" xfId="0" applyFont="1"/>
    <xf numFmtId="0" fontId="6" fillId="2" borderId="0" xfId="0" applyFont="1" applyFill="1"/>
    <xf numFmtId="0" fontId="4" fillId="0" borderId="0" xfId="0" applyFont="1"/>
    <xf numFmtId="0" fontId="5" fillId="0" borderId="0" xfId="0" applyFont="1"/>
    <xf numFmtId="0" fontId="7" fillId="0" borderId="0" xfId="0" applyFont="1"/>
    <xf numFmtId="49" fontId="4" fillId="0" borderId="0" xfId="0" applyNumberFormat="1" applyFont="1"/>
    <xf numFmtId="165" fontId="4" fillId="0" borderId="0" xfId="0" applyNumberFormat="1" applyFont="1"/>
    <xf numFmtId="0" fontId="4" fillId="0" borderId="0" xfId="0" applyNumberFormat="1" applyFont="1"/>
  </cellXfs>
  <cellStyles count="1">
    <cellStyle name="Normal" xfId="0" builtinId="0"/>
  </cellStyles>
  <dxfs count="41">
    <dxf>
      <numFmt numFmtId="0" formatCode="General"/>
    </dxf>
    <dxf>
      <font>
        <sz val="10"/>
        <color rgb="FF006100"/>
        <name val="Arial"/>
      </font>
      <fill>
        <patternFill patternType="solid">
          <fgColor rgb="FFC6EFCE"/>
          <bgColor rgb="FFC6EFCE"/>
        </patternFill>
      </fill>
    </dxf>
    <dxf>
      <font>
        <sz val="10"/>
        <color rgb="FF9C5700"/>
        <name val="Arial"/>
      </font>
      <fill>
        <patternFill patternType="solid">
          <fgColor rgb="FFFFEB9C"/>
          <bgColor rgb="FFFFEB9C"/>
        </patternFill>
      </fill>
    </dxf>
    <dxf>
      <font>
        <b/>
        <sz val="10"/>
        <color rgb="FF9C0006"/>
        <name val="Arial"/>
      </font>
      <fill>
        <patternFill patternType="solid">
          <fgColor rgb="FFFFC7CE"/>
          <bgColor rgb="FFFFC7CE"/>
        </patternFill>
      </fill>
    </dxf>
    <dxf>
      <font>
        <sz val="10"/>
        <color rgb="FF006100"/>
        <name val="Arial"/>
      </font>
      <fill>
        <patternFill patternType="solid">
          <fgColor rgb="FFC6EFCE"/>
          <bgColor rgb="FFC6EFCE"/>
        </patternFill>
      </fill>
    </dxf>
    <dxf>
      <font>
        <b/>
        <sz val="10"/>
        <color rgb="FF9C0006"/>
        <name val="Arial"/>
      </font>
      <fill>
        <patternFill patternType="solid">
          <fgColor rgb="FFFFC7CE"/>
          <bgColor rgb="FFFFC7CE"/>
        </patternFill>
      </fill>
    </dxf>
    <dxf>
      <font>
        <sz val="10"/>
        <color rgb="FF9C5700"/>
        <name val="Arial"/>
      </font>
      <fill>
        <patternFill patternType="solid">
          <fgColor rgb="FFFFEB9C"/>
          <bgColor rgb="FFFFEB9C"/>
        </patternFill>
      </fill>
    </dxf>
    <dxf>
      <font>
        <sz val="10"/>
        <color rgb="FF006100"/>
        <name val="Arial"/>
      </font>
      <fill>
        <patternFill patternType="solid">
          <fgColor rgb="FFC6EFCE"/>
          <bgColor rgb="FFC6EFCE"/>
        </patternFill>
      </fill>
    </dxf>
    <dxf>
      <font>
        <b/>
        <sz val="10"/>
        <color rgb="FF9C0006"/>
        <name val="Arial"/>
      </font>
      <fill>
        <patternFill patternType="solid">
          <fgColor rgb="FFFFC7CE"/>
          <bgColor rgb="FFFFC7CE"/>
        </patternFill>
      </fill>
    </dxf>
    <dxf>
      <font>
        <sz val="10"/>
        <color rgb="FF9C5700"/>
        <name val="Arial"/>
      </font>
      <fill>
        <patternFill patternType="solid">
          <fgColor rgb="FFFFEB9C"/>
          <bgColor rgb="FFFFEB9C"/>
        </patternFill>
      </fill>
    </dxf>
    <dxf>
      <font>
        <sz val="10"/>
        <color rgb="FF006100"/>
        <name val="Arial"/>
      </font>
      <fill>
        <patternFill patternType="solid">
          <fgColor rgb="FFC6EFCE"/>
          <bgColor rgb="FFC6EFCE"/>
        </patternFill>
      </fill>
    </dxf>
    <dxf>
      <font>
        <b/>
        <sz val="10"/>
        <color rgb="FF9C0006"/>
        <name val="Arial"/>
      </font>
      <fill>
        <patternFill patternType="solid">
          <fgColor rgb="FFFFC7CE"/>
          <bgColor rgb="FFFFC7CE"/>
        </patternFill>
      </fill>
    </dxf>
    <dxf>
      <font>
        <sz val="10"/>
        <color rgb="FF9C5700"/>
        <name val="Arial"/>
      </font>
      <fill>
        <patternFill patternType="solid">
          <fgColor rgb="FFFFEB9C"/>
          <bgColor rgb="FFFFEB9C"/>
        </patternFill>
      </fill>
    </dxf>
    <dxf>
      <font>
        <sz val="10"/>
        <color rgb="FF006100"/>
        <name val="Arial"/>
      </font>
      <fill>
        <patternFill patternType="solid">
          <fgColor rgb="FFC6EFCE"/>
          <bgColor rgb="FFC6EFCE"/>
        </patternFill>
      </fill>
    </dxf>
    <dxf>
      <font>
        <b/>
        <sz val="10"/>
        <color rgb="FF9C0006"/>
        <name val="Arial"/>
      </font>
      <fill>
        <patternFill patternType="solid">
          <fgColor rgb="FFFFC7CE"/>
          <bgColor rgb="FFFFC7CE"/>
        </patternFill>
      </fill>
    </dxf>
    <dxf>
      <font>
        <sz val="10"/>
        <color rgb="FF9C5700"/>
        <name val="Arial"/>
      </font>
      <fill>
        <patternFill patternType="solid">
          <fgColor rgb="FFFFEB9C"/>
          <bgColor rgb="FFFFEB9C"/>
        </patternFill>
      </fill>
    </dxf>
    <dxf>
      <font>
        <sz val="10"/>
        <color rgb="FF006100"/>
        <name val="Arial"/>
      </font>
      <fill>
        <patternFill patternType="solid">
          <fgColor rgb="FFC6EFCE"/>
          <bgColor rgb="FFC6EFCE"/>
        </patternFill>
      </fill>
    </dxf>
    <dxf>
      <font>
        <b/>
        <sz val="10"/>
        <color rgb="FF9C0006"/>
        <name val="Arial"/>
      </font>
      <fill>
        <patternFill patternType="solid">
          <fgColor rgb="FFFFC7CE"/>
          <bgColor rgb="FFFFC7CE"/>
        </patternFill>
      </fill>
    </dxf>
    <dxf>
      <font>
        <sz val="10"/>
        <color rgb="FF9C5700"/>
        <name val="Arial"/>
      </font>
      <fill>
        <patternFill patternType="solid">
          <fgColor rgb="FFFFEB9C"/>
          <bgColor rgb="FFFFEB9C"/>
        </patternFill>
      </fill>
    </dxf>
    <dxf>
      <font>
        <sz val="10"/>
        <color rgb="FF006100"/>
        <name val="Arial"/>
      </font>
      <fill>
        <patternFill patternType="solid">
          <fgColor rgb="FFC6EFCE"/>
          <bgColor rgb="FFC6EFCE"/>
        </patternFill>
      </fill>
    </dxf>
    <dxf>
      <font>
        <b/>
        <sz val="10"/>
        <color rgb="FF9C0006"/>
        <name val="Arial"/>
      </font>
      <fill>
        <patternFill patternType="solid">
          <fgColor rgb="FFFFC7CE"/>
          <bgColor rgb="FFFFC7CE"/>
        </patternFill>
      </fill>
    </dxf>
    <dxf>
      <font>
        <sz val="10"/>
        <color rgb="FF9C5700"/>
        <name val="Arial"/>
      </font>
      <fill>
        <patternFill patternType="solid">
          <fgColor rgb="FFFFEB9C"/>
          <bgColor rgb="FFFFEB9C"/>
        </patternFill>
      </fill>
    </dxf>
    <dxf>
      <font>
        <sz val="10"/>
        <color rgb="FF006100"/>
        <name val="Arial"/>
      </font>
      <fill>
        <patternFill patternType="solid">
          <fgColor rgb="FFC6EFCE"/>
          <bgColor rgb="FFC6EFCE"/>
        </patternFill>
      </fill>
    </dxf>
    <dxf>
      <font>
        <b/>
        <sz val="10"/>
        <color rgb="FF9C0006"/>
        <name val="Arial"/>
      </font>
      <fill>
        <patternFill patternType="solid">
          <fgColor rgb="FFFFC7CE"/>
          <bgColor rgb="FFFFC7CE"/>
        </patternFill>
      </fill>
    </dxf>
    <dxf>
      <font>
        <sz val="10"/>
        <color rgb="FF9C5700"/>
        <name val="Arial"/>
      </font>
      <fill>
        <patternFill patternType="solid">
          <fgColor rgb="FFFFEB9C"/>
          <bgColor rgb="FFFFEB9C"/>
        </patternFill>
      </fill>
    </dxf>
    <dxf>
      <font>
        <sz val="10"/>
        <color rgb="FF006100"/>
        <name val="Arial"/>
      </font>
      <fill>
        <patternFill patternType="solid">
          <fgColor rgb="FFC6EFCE"/>
          <bgColor rgb="FFC6EFCE"/>
        </patternFill>
      </fill>
    </dxf>
    <dxf>
      <font>
        <b/>
        <sz val="10"/>
        <color rgb="FF9C0006"/>
        <name val="Arial"/>
      </font>
      <fill>
        <patternFill patternType="solid">
          <fgColor rgb="FFFFC7CE"/>
          <bgColor rgb="FFFFC7CE"/>
        </patternFill>
      </fill>
    </dxf>
    <dxf>
      <font>
        <sz val="10"/>
        <color rgb="FF9C5700"/>
        <name val="Arial"/>
      </font>
      <fill>
        <patternFill patternType="solid">
          <fgColor rgb="FFFFEB9C"/>
          <bgColor rgb="FFFFEB9C"/>
        </patternFill>
      </fill>
    </dxf>
    <dxf>
      <font>
        <sz val="10"/>
        <color rgb="FF006100"/>
        <name val="Arial"/>
      </font>
      <fill>
        <patternFill patternType="solid">
          <fgColor rgb="FFC6EFCE"/>
          <bgColor rgb="FFC6EFCE"/>
        </patternFill>
      </fill>
    </dxf>
    <dxf>
      <font>
        <b/>
        <sz val="10"/>
        <color rgb="FF9C0006"/>
        <name val="Arial"/>
      </font>
      <fill>
        <patternFill patternType="solid">
          <fgColor rgb="FFFFC7CE"/>
          <bgColor rgb="FFFFC7CE"/>
        </patternFill>
      </fill>
    </dxf>
    <dxf>
      <font>
        <sz val="10"/>
        <color rgb="FF9C5700"/>
        <name val="Arial"/>
      </font>
      <fill>
        <patternFill patternType="solid">
          <fgColor rgb="FFFFEB9C"/>
          <bgColor rgb="FFFFEB9C"/>
        </patternFill>
      </fill>
    </dxf>
    <dxf>
      <font>
        <sz val="10"/>
        <color rgb="FF9C5700"/>
        <name val="Arial"/>
      </font>
      <fill>
        <patternFill patternType="solid">
          <fgColor rgb="FFFFEB9C"/>
          <bgColor rgb="FFFFEB9C"/>
        </patternFill>
      </fill>
    </dxf>
    <dxf>
      <font>
        <sz val="10"/>
        <color rgb="FF006100"/>
        <name val="Arial"/>
      </font>
      <fill>
        <patternFill patternType="solid">
          <fgColor rgb="FFC6EFCE"/>
          <bgColor rgb="FFC6EFCE"/>
        </patternFill>
      </fill>
    </dxf>
    <dxf>
      <font>
        <b/>
        <sz val="10"/>
        <color rgb="FF9C0006"/>
        <name val="Arial"/>
      </font>
      <fill>
        <patternFill patternType="solid">
          <fgColor rgb="FFFFC7CE"/>
          <bgColor rgb="FFFFC7CE"/>
        </patternFill>
      </fill>
    </dxf>
    <dxf>
      <font>
        <sz val="10"/>
        <color rgb="FF9C5700"/>
        <name val="Arial"/>
      </font>
      <fill>
        <patternFill patternType="solid">
          <fgColor rgb="FFFFEB9C"/>
          <bgColor rgb="FFFFEB9C"/>
        </patternFill>
      </fill>
    </dxf>
    <dxf>
      <font>
        <sz val="10"/>
        <color rgb="FF006100"/>
        <name val="Arial"/>
      </font>
      <fill>
        <patternFill patternType="solid">
          <fgColor rgb="FFC6EFCE"/>
          <bgColor rgb="FFC6EFCE"/>
        </patternFill>
      </fill>
    </dxf>
    <dxf>
      <font>
        <b/>
        <sz val="10"/>
        <color rgb="FF9C0006"/>
        <name val="Arial"/>
      </font>
      <fill>
        <patternFill patternType="solid">
          <fgColor rgb="FFFFC7CE"/>
          <bgColor rgb="FFFFC7CE"/>
        </patternFill>
      </fill>
    </dxf>
    <dxf>
      <font>
        <sz val="10"/>
        <color rgb="FF9C5700"/>
        <name val="Arial"/>
      </font>
      <fill>
        <patternFill patternType="solid">
          <fgColor rgb="FFFFEB9C"/>
          <bgColor rgb="FFFFEB9C"/>
        </patternFill>
      </fill>
    </dxf>
    <dxf>
      <font>
        <sz val="10"/>
        <color rgb="FF006100"/>
        <name val="Arial"/>
      </font>
      <fill>
        <patternFill patternType="solid">
          <fgColor rgb="FFC6EFCE"/>
          <bgColor rgb="FFC6EFCE"/>
        </patternFill>
      </fill>
    </dxf>
    <dxf>
      <font>
        <b/>
        <sz val="10"/>
        <color rgb="FF9C0006"/>
        <name val="Arial"/>
      </font>
      <fill>
        <patternFill patternType="solid">
          <fgColor rgb="FFFFC7CE"/>
          <bgColor rgb="FFFFC7CE"/>
        </patternFill>
      </fill>
    </dxf>
    <dxf>
      <font>
        <sz val="10"/>
        <color rgb="FF9C5700"/>
        <name val="Arial"/>
      </font>
      <fill>
        <patternFill patternType="solid">
          <fgColor rgb="FFFFEB9C"/>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Countries" displayName="tblCountries" ref="A1:E251">
  <autoFilter ref="A1:E251" xr:uid="{00000000-0009-0000-0100-000001000000}"/>
  <tableColumns count="5">
    <tableColumn id="1" xr3:uid="{00000000-0010-0000-0000-000001000000}" name="Name"/>
    <tableColumn id="2" xr3:uid="{00000000-0010-0000-0000-000002000000}" name="Alpha2"/>
    <tableColumn id="3" xr3:uid="{00000000-0010-0000-0000-000003000000}" name="Alpha3"/>
    <tableColumn id="4" xr3:uid="{00000000-0010-0000-0000-000004000000}" name="Num"/>
    <tableColumn id="5" xr3:uid="{00000000-0010-0000-0000-000005000000}" name="DialCod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query" displayName="Table_query" ref="A1:AB35">
  <autoFilter ref="A1:AB35" xr:uid="{00000000-0009-0000-0100-000002000000}"/>
  <tableColumns count="28">
    <tableColumn id="1" xr3:uid="{00000000-0010-0000-0100-000001000000}" name="FirstName"/>
    <tableColumn id="2" xr3:uid="{00000000-0010-0000-0100-000002000000}" name="LastName"/>
    <tableColumn id="3" xr3:uid="{00000000-0010-0000-0100-000003000000}" name="PhoneNr"/>
    <tableColumn id="4" xr3:uid="{00000000-0010-0000-0100-000004000000}" name="Plan"/>
    <tableColumn id="5" xr3:uid="{00000000-0010-0000-0100-000005000000}" name="ICC_ID"/>
    <tableColumn id="6" xr3:uid="{00000000-0010-0000-0100-000006000000}" name="GD_ID"/>
    <tableColumn id="7" xr3:uid="{00000000-0010-0000-0100-000007000000}" name="StartDate"/>
    <tableColumn id="8" xr3:uid="{00000000-0010-0000-0100-000008000000}" name="SIM_Country"/>
    <tableColumn id="9" xr3:uid="{00000000-0010-0000-0100-000009000000}" name="Provider"/>
    <tableColumn id="10" xr3:uid="{00000000-0010-0000-0100-00000A000000}" name="CostCenter"/>
    <tableColumn id="11" xr3:uid="{00000000-0010-0000-0100-00000B000000}" name="UBR_Code"/>
    <tableColumn id="12" xr3:uid="{00000000-0010-0000-0100-00000C000000}" name="Legal entity"/>
    <tableColumn id="13" xr3:uid="{00000000-0010-0000-0100-00000D000000}" name="IsVR"/>
    <tableColumn id="14" xr3:uid="{00000000-0010-0000-0100-00000E000000}" name="BAN"/>
    <tableColumn id="15" xr3:uid="{00000000-0010-0000-0100-00000F000000}" name="SOC"/>
    <tableColumn id="16" xr3:uid="{00000000-0010-0000-0100-000010000000}" name="Status"/>
    <tableColumn id="17" xr3:uid="{00000000-0010-0000-0100-000011000000}" name="SIM Type"/>
    <tableColumn id="18" xr3:uid="{00000000-0010-0000-0100-000012000000}" name="Email"/>
    <tableColumn id="19" xr3:uid="{00000000-0010-0000-0100-000013000000}" name="ID"/>
    <tableColumn id="20" xr3:uid="{00000000-0010-0000-0100-000014000000}" name="IsPhoneValid">
      <calculatedColumnFormula>IF($C2="","",IF($V2="","No digits at all - enter a phone number",IF(NOT(SUMPRODUCT(--ISNUMBER(--MID($V2,ROW(INDIRECT("1:"&amp;LEN($V2))),1)))=LEN($V2)),"Digits only - no letters or symbols (+ ( ) - . and spaces are tolerated)",IF(LEN($V2)&lt;8,"Too short - "&amp;LEN($V2)&amp;" digits (min 8)",IF(LEN($V2)&gt;15,"Too long - "&amp;LEN($V2)&amp;" digits (max 15)",IF($H2="","WARNING: SIM_Country is empty - cannot check the country code",IF(ISNA(MATCH($H2,tblCountries[Name],0)),IF(ISNA(MATCH(TRIM(SUBSTITUTE($H2,CHAR(160)," ")),tblCountries[Name],0)),"WARNING: SIM_Country """&amp;$H2&amp;""" is not in tblCountries","WARNING: SIM_Country """&amp;$H2&amp;""" has stray spaces around it (usually from a paste) - retype it or pick it from the dropdown"),IF(LEFT($V2,LEN(TEXT(INDEX(tblCountries[DialCode],MATCH($H2,tblCountries[Name],0)),"0")))&lt;&gt;TEXT(INDEX(tblCountries[DialCode],MATCH($H2,tblCountries[Name],0)),"0"),"Wrong country code - must start with +"&amp;TEXT(INDEX(tblCountries[DialCode],MATCH($H2,tblCountries[Name],0)),"0")&amp;" for "&amp;$H2,"OK"))))))))</calculatedColumnFormula>
    </tableColumn>
    <tableColumn id="21" xr3:uid="{00000000-0010-0000-0100-000015000000}" name="IMEI"/>
    <tableColumn id="22" xr3:uid="{00000000-0010-0000-0100-000016000000}" name="PhoneClean" dataDxfId="0">
      <calculatedColumnFormula>IF($C2="","",IF(LEFT(SUBSTITUTE(SUBSTITUTE(SUBSTITUTE(SUBSTITUTE(SUBSTITUTE(SUBSTITUTE(SUBSTITUTE(TRIM($C2&amp;""),"+","")," ",""),"-",""),"(",""),")",""),".",""),CHAR(160),""),2)="00",MID(SUBSTITUTE(SUBSTITUTE(SUBSTITUTE(SUBSTITUTE(SUBSTITUTE(SUBSTITUTE(SUBSTITUTE(TRIM($C2&amp;""),"+","")," ",""),"-",""),"(",""),")",""),".",""),CHAR(160),""),3,255),SUBSTITUTE(SUBSTITUTE(SUBSTITUTE(SUBSTITUTE(SUBSTITUTE(SUBSTITUTE(SUBSTITUTE(TRIM($C2&amp;""),"+","")," ",""),"-",""),"(",""),")",""),".",""),CHAR(160),"")))</calculatedColumnFormula>
    </tableColumn>
    <tableColumn id="23" xr3:uid="{00000000-0010-0000-0100-000017000000}" name="ICC_Check">
      <calculatedColumnFormula>IF($E2="","",IF(ISNUMBER($E2),"Stored as a NUMBER - every digit past the 15th is already lost. Format the column as Text and re-enter.",IF(NOT(SUMPRODUCT(--ISNUMBER(--MID(TRIM($E2&amp;""),ROW(INDIRECT("1:"&amp;LEN(TRIM($E2&amp;"")))),1)))=LEN(TRIM($E2&amp;""))),"Digits only - no +, -, spaces or any other character",IF(LEFT(TRIM($E2&amp;""),2)&lt;&gt;"89","Must start with 89 (ITU-T E.118 telecom prefix)",IF(LEN(TRIM($E2&amp;""))&lt;18,"Too short - "&amp;LEN(TRIM($E2&amp;""))&amp;" digits (min 18)",IF(LEN(TRIM($E2&amp;""))&gt;22,"Too long - "&amp;LEN(TRIM($E2&amp;""))&amp;" digits (max 22)",IF(NOT(MOD(SUMPRODUCT(MID(TRIM($E2&amp;""),ROW(INDIRECT("1:"&amp;LEN(TRIM($E2&amp;"")))),1)*1*(1+MOD(LEN(TRIM($E2&amp;""))-ROW(INDIRECT("1:"&amp;LEN(TRIM($E2&amp;"")))),2))-MOD(LEN(TRIM($E2&amp;""))-ROW(INDIRECT("1:"&amp;LEN(TRIM($E2&amp;"")))),2)*9*(MID(TRIM($E2&amp;""),ROW(INDIRECT("1:"&amp;LEN(TRIM($E2&amp;"")))),1)*1*2&gt;9)),10)=0),"WARNING: Luhn check digit does not match - likely a typo or a transposition","OK")))))))</calculatedColumnFormula>
    </tableColumn>
    <tableColumn id="24" xr3:uid="{00000000-0010-0000-0100-000018000000}" name="IMEI_Check">
      <calculatedColumnFormula>IF($U2="","",IF(NOT(SUMPRODUCT(--ISNUMBER(--MID(TRIM($U2&amp;""),ROW(INDIRECT("1:"&amp;LEN(TRIM($U2&amp;"")))),1)))=LEN(TRIM($U2&amp;""))),"Digits only - no +, -, spaces or any other character",IF(LEN(TRIM($U2&amp;""))&lt;&gt;15,"Must be exactly 15 digits - this one has "&amp;LEN(TRIM($U2&amp;"")),IF(NOT(MOD(SUMPRODUCT(MID(TRIM($U2&amp;""),ROW(INDIRECT("1:"&amp;LEN(TRIM($U2&amp;"")))),1)*1*(1+MOD(LEN(TRIM($U2&amp;""))-ROW(INDIRECT("1:"&amp;LEN(TRIM($U2&amp;"")))),2))-MOD(LEN(TRIM($U2&amp;""))-ROW(INDIRECT("1:"&amp;LEN(TRIM($U2&amp;"")))),2)*9*(MID(TRIM($U2&amp;""),ROW(INDIRECT("1:"&amp;LEN(TRIM($U2&amp;"")))),1)*1*2&gt;9)),10)=0),"WARNING: Luhn check digit does not match - likely a typo or a transposition","OK"))))</calculatedColumnFormula>
    </tableColumn>
    <tableColumn id="25" xr3:uid="{00000000-0010-0000-0100-000019000000}" name="Date_Check">
      <calculatedColumnFormula>IF($G2="","",IF(ISNUMBER($G2),IF(OR($G2&lt;DATE(2000,1,1),$G2&gt;TODAY()+730),"WARNING: real date, but outside 2000-01-01 .. today+2y - check the day/month order","OK"),IF(LEN(TRIM($G2&amp;""))&lt;&gt;10,"Must be dd-mm-yyyy - 10 characters, this one has "&amp;LEN(TRIM($G2&amp;"")),IF(AND(NOT(ISERROR(FIND(MID(TRIM($G2&amp;""),5,1),"-/."))),NOT(ISERROR(FIND(MID(TRIM($G2&amp;""),8,1),"-/."))),SUMPRODUCT(--ISNUMBER(--MID(LEFT(TRIM($G2&amp;""),4),ROW(INDIRECT("1:"&amp;LEN(LEFT(TRIM($G2&amp;""),4)))),1)))=LEN(LEFT(TRIM($G2&amp;""),4))),"Looks like yyyy-mm-dd - StartDate must put the DAY first: dd-mm-yyyy",IF(OR(MID(TRIM($G2&amp;""),3,1)&lt;&gt;MID(TRIM($G2&amp;""),6,1),ISERROR(FIND(MID(TRIM($G2&amp;""),3,1),"-/."))),"Separators must be in positions 3 and 6, matching, and be - or / or .",IF(NOT(AND(SUMPRODUCT(--ISNUMBER(--MID(LEFT(TRIM($G2&amp;""),2),ROW(INDIRECT("1:"&amp;LEN(LEFT(TRIM($G2&amp;""),2)))),1)))=LEN(LEFT(TRIM($G2&amp;""),2)),SUMPRODUCT(--ISNUMBER(--MID(MID(TRIM($G2&amp;""),4,2),ROW(INDIRECT("1:"&amp;LEN(MID(TRIM($G2&amp;""),4,2)))),1)))=LEN(MID(TRIM($G2&amp;""),4,2)),SUMPRODUCT(--ISNUMBER(--MID(RIGHT(TRIM($G2&amp;""),4),ROW(INDIRECT("1:"&amp;LEN(RIGHT(TRIM($G2&amp;""),4)))),1)))=LEN(RIGHT(TRIM($G2&amp;""),4)))),"Day, month and year must all be digits",IF(OR(LEFT(TRIM($G2&amp;""),2)*1&lt;1,LEFT(TRIM($G2&amp;""),2)*1&gt;31),"Day out of range - dd-mm-yyyy puts the DAY first",IF(OR(MID(TRIM($G2&amp;""),4,2)*1&lt;1,MID(TRIM($G2&amp;""),4,2)*1&gt;12),"Month out of range - dd-mm-yyyy puts the MONTH second",IF(OR(RIGHT(TRIM($G2&amp;""),4)*1&lt;2000,RIGHT(TRIM($G2&amp;""),4)*1&gt;2100),"Year out of range (2000-2100)",IF(DAY(DATE(RIGHT(TRIM($G2&amp;""),4)*1,MID(TRIM($G2&amp;""),4,2)*1,LEFT(TRIM($G2&amp;""),2)*1))&lt;&gt;LEFT(TRIM($G2&amp;""),2)*1,"Not a real calendar date (e.g. 31-02 or 30-02)","OK"))))))))))</calculatedColumnFormula>
    </tableColumn>
    <tableColumn id="26" xr3:uid="{00000000-0010-0000-0100-00001A000000}" name="Status_Check">
      <calculatedColumnFormula>IF($P2="","",IF(SUMPRODUCT(--EXACT($P2,Config!$G$2:$G$4))&gt;0,"OK",IF(NOT(ISNA(MATCH($P2,Config!$G$2:$G$4,0))),"WARNING: wrong capitalisation - should be """&amp;INDEX(Config!$G$2:$G$4,MATCH($P2,Config!$G$2:$G$4,0))&amp;""" exactly","Must be one of: Active, Deactivated, Suspended")))</calculatedColumnFormula>
    </tableColumn>
    <tableColumn id="27" xr3:uid="{00000000-0010-0000-0100-00001B000000}" name="SIMType_Check">
      <calculatedColumnFormula>IF($Q2="","",IF(SUMPRODUCT(--EXACT($Q2,Config!$H$2:$H$3))&gt;0,"OK",IF(NOT(ISNA(MATCH($Q2,Config!$H$2:$H$3,0))),"WARNING: wrong capitalisation - should be """&amp;INDEX(Config!$H$2:$H$3,MATCH($Q2,Config!$H$2:$H$3,0))&amp;""" exactly","Must be one of: eSIM, Physical SIM")))</calculatedColumnFormula>
    </tableColumn>
    <tableColumn id="28" xr3:uid="{00000000-0010-0000-0100-00001C000000}" name="RowErrors">
      <calculatedColumnFormula>IF(IF(OR($T2="",$T2="OK"),"","PhoneNr: "&amp;$T2&amp;"  //  ")&amp;IF(OR($W2="",$W2="OK"),"","ICC_ID: "&amp;$W2&amp;"  //  ")&amp;IF(OR($Y2="",$Y2="OK"),"","StartDate: "&amp;$Y2&amp;"  //  ")&amp;IF(OR($Z2="",$Z2="OK"),"","Status: "&amp;$Z2&amp;"  //  ")&amp;IF(OR($AA2="",$AA2="OK"),"","SIM Type: "&amp;$AA2&amp;"  //  ")&amp;IF(OR($X2="",$X2="OK"),"","IMEI: "&amp;$X2&amp;"  //  ")="","OK",LEFT(IF(OR($T2="",$T2="OK"),"","PhoneNr: "&amp;$T2&amp;"  //  ")&amp;IF(OR($W2="",$W2="OK"),"","ICC_ID: "&amp;$W2&amp;"  //  ")&amp;IF(OR($Y2="",$Y2="OK"),"","StartDate: "&amp;$Y2&amp;"  //  ")&amp;IF(OR($Z2="",$Z2="OK"),"","Status: "&amp;$Z2&amp;"  //  ")&amp;IF(OR($AA2="",$AA2="OK"),"","SIM Type: "&amp;$AA2&amp;"  //  ")&amp;IF(OR($X2="",$X2="OK"),"","IMEI: "&amp;$X2&amp;"  //  "),LEN(IF(OR($T2="",$T2="OK"),"","PhoneNr: "&amp;$T2&amp;"  //  ")&amp;IF(OR($W2="",$W2="OK"),"","ICC_ID: "&amp;$W2&amp;"  //  ")&amp;IF(OR($Y2="",$Y2="OK"),"","StartDate: "&amp;$Y2&amp;"  //  ")&amp;IF(OR($Z2="",$Z2="OK"),"","Status: "&amp;$Z2&amp;"  //  ")&amp;IF(OR($AA2="",$AA2="OK"),"","SIM Type: "&amp;$AA2&amp;"  //  ")&amp;IF(OR($X2="",$X2="OK"),"","IMEI: "&amp;$X2&amp;"  //  "))-6))</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69"/>
  <sheetViews>
    <sheetView showGridLines="0" tabSelected="1" workbookViewId="0"/>
  </sheetViews>
  <sheetFormatPr defaultRowHeight="14.5" x14ac:dyDescent="0.35"/>
  <cols>
    <col min="1" max="1" width="3" customWidth="1"/>
    <col min="2" max="2" width="120" customWidth="1"/>
  </cols>
  <sheetData>
    <row r="1" spans="2:2" ht="19" x14ac:dyDescent="0.35">
      <c r="B1" s="1" t="s">
        <v>0</v>
      </c>
    </row>
    <row r="2" spans="2:2" x14ac:dyDescent="0.35">
      <c r="B2" s="2"/>
    </row>
    <row r="3" spans="2:2" ht="22" customHeight="1" x14ac:dyDescent="0.35">
      <c r="B3" s="3" t="s">
        <v>1</v>
      </c>
    </row>
    <row r="4" spans="2:2" ht="42" customHeight="1" x14ac:dyDescent="0.35">
      <c r="B4" s="2" t="s">
        <v>2</v>
      </c>
    </row>
    <row r="5" spans="2:2" ht="28" customHeight="1" x14ac:dyDescent="0.35">
      <c r="B5" s="2" t="s">
        <v>3</v>
      </c>
    </row>
    <row r="6" spans="2:2" x14ac:dyDescent="0.35">
      <c r="B6" s="2"/>
    </row>
    <row r="7" spans="2:2" ht="22" customHeight="1" x14ac:dyDescent="0.35">
      <c r="B7" s="3" t="s">
        <v>4</v>
      </c>
    </row>
    <row r="8" spans="2:2" x14ac:dyDescent="0.35">
      <c r="B8" s="2" t="s">
        <v>5</v>
      </c>
    </row>
    <row r="9" spans="2:2" x14ac:dyDescent="0.35">
      <c r="B9" s="2" t="s">
        <v>6</v>
      </c>
    </row>
    <row r="10" spans="2:2" x14ac:dyDescent="0.35">
      <c r="B10" s="2" t="s">
        <v>7</v>
      </c>
    </row>
    <row r="11" spans="2:2" ht="28" customHeight="1" x14ac:dyDescent="0.35">
      <c r="B11" s="2" t="s">
        <v>8</v>
      </c>
    </row>
    <row r="12" spans="2:2" x14ac:dyDescent="0.35">
      <c r="B12" s="2"/>
    </row>
    <row r="13" spans="2:2" ht="22" customHeight="1" x14ac:dyDescent="0.35">
      <c r="B13" s="3" t="s">
        <v>9</v>
      </c>
    </row>
    <row r="14" spans="2:2" x14ac:dyDescent="0.35">
      <c r="B14" s="2" t="s">
        <v>10</v>
      </c>
    </row>
    <row r="15" spans="2:2" x14ac:dyDescent="0.35">
      <c r="B15" s="2" t="s">
        <v>11</v>
      </c>
    </row>
    <row r="16" spans="2:2" ht="28" customHeight="1" x14ac:dyDescent="0.35">
      <c r="B16" s="2" t="s">
        <v>12</v>
      </c>
    </row>
    <row r="17" spans="2:2" x14ac:dyDescent="0.35">
      <c r="B17" s="2"/>
    </row>
    <row r="18" spans="2:2" ht="22" customHeight="1" x14ac:dyDescent="0.35">
      <c r="B18" s="3" t="s">
        <v>13</v>
      </c>
    </row>
    <row r="19" spans="2:2" x14ac:dyDescent="0.35">
      <c r="B19" s="2" t="s">
        <v>14</v>
      </c>
    </row>
    <row r="20" spans="2:2" x14ac:dyDescent="0.35">
      <c r="B20" s="2" t="s">
        <v>15</v>
      </c>
    </row>
    <row r="21" spans="2:2" x14ac:dyDescent="0.35">
      <c r="B21" s="2" t="s">
        <v>16</v>
      </c>
    </row>
    <row r="22" spans="2:2" ht="42" customHeight="1" x14ac:dyDescent="0.35">
      <c r="B22" s="2" t="s">
        <v>17</v>
      </c>
    </row>
    <row r="23" spans="2:2" ht="56" customHeight="1" x14ac:dyDescent="0.35">
      <c r="B23" s="2" t="s">
        <v>18</v>
      </c>
    </row>
    <row r="24" spans="2:2" x14ac:dyDescent="0.35">
      <c r="B24" s="2"/>
    </row>
    <row r="25" spans="2:2" ht="22" customHeight="1" x14ac:dyDescent="0.35">
      <c r="B25" s="3" t="s">
        <v>19</v>
      </c>
    </row>
    <row r="26" spans="2:2" x14ac:dyDescent="0.35">
      <c r="B26" s="2" t="s">
        <v>20</v>
      </c>
    </row>
    <row r="27" spans="2:2" ht="42" customHeight="1" x14ac:dyDescent="0.35">
      <c r="B27" s="2" t="s">
        <v>21</v>
      </c>
    </row>
    <row r="28" spans="2:2" x14ac:dyDescent="0.35">
      <c r="B28" s="2"/>
    </row>
    <row r="29" spans="2:2" ht="22" customHeight="1" x14ac:dyDescent="0.35">
      <c r="B29" s="3" t="s">
        <v>22</v>
      </c>
    </row>
    <row r="30" spans="2:2" ht="28" customHeight="1" x14ac:dyDescent="0.35">
      <c r="B30" s="2" t="s">
        <v>1004</v>
      </c>
    </row>
    <row r="31" spans="2:2" x14ac:dyDescent="0.35">
      <c r="B31" s="2" t="s">
        <v>23</v>
      </c>
    </row>
    <row r="32" spans="2:2" x14ac:dyDescent="0.35">
      <c r="B32" s="2" t="s">
        <v>24</v>
      </c>
    </row>
    <row r="33" spans="2:2" x14ac:dyDescent="0.35">
      <c r="B33" s="2" t="s">
        <v>25</v>
      </c>
    </row>
    <row r="34" spans="2:2" ht="28" customHeight="1" x14ac:dyDescent="0.35">
      <c r="B34" s="2" t="s">
        <v>26</v>
      </c>
    </row>
    <row r="35" spans="2:2" ht="70" customHeight="1" x14ac:dyDescent="0.35">
      <c r="B35" s="2" t="s">
        <v>27</v>
      </c>
    </row>
    <row r="36" spans="2:2" x14ac:dyDescent="0.35">
      <c r="B36" s="2"/>
    </row>
    <row r="37" spans="2:2" ht="22" customHeight="1" x14ac:dyDescent="0.35">
      <c r="B37" s="3" t="s">
        <v>28</v>
      </c>
    </row>
    <row r="38" spans="2:2" x14ac:dyDescent="0.35">
      <c r="B38" s="2" t="s">
        <v>29</v>
      </c>
    </row>
    <row r="39" spans="2:2" x14ac:dyDescent="0.35">
      <c r="B39" s="2" t="s">
        <v>30</v>
      </c>
    </row>
    <row r="40" spans="2:2" x14ac:dyDescent="0.35">
      <c r="B40" s="2" t="s">
        <v>31</v>
      </c>
    </row>
    <row r="41" spans="2:2" ht="28" customHeight="1" x14ac:dyDescent="0.35">
      <c r="B41" s="2" t="s">
        <v>32</v>
      </c>
    </row>
    <row r="42" spans="2:2" x14ac:dyDescent="0.35">
      <c r="B42" s="2"/>
    </row>
    <row r="43" spans="2:2" ht="22" customHeight="1" x14ac:dyDescent="0.35">
      <c r="B43" s="3" t="s">
        <v>33</v>
      </c>
    </row>
    <row r="44" spans="2:2" ht="42" customHeight="1" x14ac:dyDescent="0.35">
      <c r="B44" s="2" t="s">
        <v>34</v>
      </c>
    </row>
    <row r="45" spans="2:2" x14ac:dyDescent="0.35">
      <c r="B45" s="2"/>
    </row>
    <row r="46" spans="2:2" ht="22" customHeight="1" x14ac:dyDescent="0.35">
      <c r="B46" s="3" t="s">
        <v>35</v>
      </c>
    </row>
    <row r="47" spans="2:2" ht="56" customHeight="1" x14ac:dyDescent="0.35">
      <c r="B47" s="2" t="s">
        <v>36</v>
      </c>
    </row>
    <row r="48" spans="2:2" ht="28" customHeight="1" x14ac:dyDescent="0.35">
      <c r="B48" s="2" t="s">
        <v>37</v>
      </c>
    </row>
    <row r="49" spans="2:2" ht="50" x14ac:dyDescent="0.35">
      <c r="B49" s="2" t="s">
        <v>1003</v>
      </c>
    </row>
    <row r="50" spans="2:2" x14ac:dyDescent="0.35">
      <c r="B50" s="2"/>
    </row>
    <row r="51" spans="2:2" x14ac:dyDescent="0.35">
      <c r="B51" s="3" t="s">
        <v>38</v>
      </c>
    </row>
    <row r="52" spans="2:2" ht="25" x14ac:dyDescent="0.35">
      <c r="B52" s="2" t="s">
        <v>39</v>
      </c>
    </row>
    <row r="53" spans="2:2" x14ac:dyDescent="0.35">
      <c r="B53" s="2" t="s">
        <v>40</v>
      </c>
    </row>
    <row r="54" spans="2:2" x14ac:dyDescent="0.35">
      <c r="B54" s="2" t="s">
        <v>41</v>
      </c>
    </row>
    <row r="55" spans="2:2" x14ac:dyDescent="0.35">
      <c r="B55" s="2"/>
    </row>
    <row r="56" spans="2:2" x14ac:dyDescent="0.35">
      <c r="B56" s="3" t="s">
        <v>42</v>
      </c>
    </row>
    <row r="57" spans="2:2" x14ac:dyDescent="0.35">
      <c r="B57" s="2" t="s">
        <v>43</v>
      </c>
    </row>
    <row r="58" spans="2:2" x14ac:dyDescent="0.35">
      <c r="B58" s="2" t="s">
        <v>44</v>
      </c>
    </row>
    <row r="59" spans="2:2" ht="25" x14ac:dyDescent="0.35">
      <c r="B59" s="2" t="s">
        <v>45</v>
      </c>
    </row>
    <row r="60" spans="2:2" ht="25" x14ac:dyDescent="0.35">
      <c r="B60" s="2" t="s">
        <v>46</v>
      </c>
    </row>
    <row r="61" spans="2:2" x14ac:dyDescent="0.35">
      <c r="B61" s="2" t="s">
        <v>47</v>
      </c>
    </row>
    <row r="62" spans="2:2" x14ac:dyDescent="0.35">
      <c r="B62" s="2" t="s">
        <v>48</v>
      </c>
    </row>
    <row r="64" spans="2:2" x14ac:dyDescent="0.35">
      <c r="B64" s="3" t="s">
        <v>1005</v>
      </c>
    </row>
    <row r="65" spans="2:2" ht="25" x14ac:dyDescent="0.35">
      <c r="B65" s="2" t="s">
        <v>1006</v>
      </c>
    </row>
    <row r="66" spans="2:2" ht="37.5" x14ac:dyDescent="0.35">
      <c r="B66" s="2" t="s">
        <v>1007</v>
      </c>
    </row>
    <row r="67" spans="2:2" ht="25" x14ac:dyDescent="0.35">
      <c r="B67" s="2" t="s">
        <v>1008</v>
      </c>
    </row>
    <row r="68" spans="2:2" x14ac:dyDescent="0.35">
      <c r="B68" s="2" t="s">
        <v>1009</v>
      </c>
    </row>
    <row r="69" spans="2:2" ht="37.5" x14ac:dyDescent="0.35">
      <c r="B69" s="2" t="s">
        <v>1010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1"/>
  <sheetViews>
    <sheetView workbookViewId="0"/>
  </sheetViews>
  <sheetFormatPr defaultRowHeight="14.5" x14ac:dyDescent="0.35"/>
  <cols>
    <col min="1" max="1" width="44" customWidth="1"/>
    <col min="2" max="3" width="9" customWidth="1"/>
    <col min="4" max="4" width="8" customWidth="1"/>
    <col min="5" max="5" width="11" customWidth="1"/>
    <col min="6" max="6" width="3" customWidth="1"/>
    <col min="7" max="8" width="20" customWidth="1"/>
  </cols>
  <sheetData>
    <row r="1" spans="1:8" x14ac:dyDescent="0.35">
      <c r="A1" s="4" t="s">
        <v>49</v>
      </c>
      <c r="B1" s="4" t="s">
        <v>50</v>
      </c>
      <c r="C1" s="4" t="s">
        <v>51</v>
      </c>
      <c r="D1" s="4" t="s">
        <v>52</v>
      </c>
      <c r="E1" s="4" t="s">
        <v>53</v>
      </c>
      <c r="F1" s="4"/>
      <c r="G1" s="5" t="s">
        <v>54</v>
      </c>
      <c r="H1" s="5" t="s">
        <v>55</v>
      </c>
    </row>
    <row r="2" spans="1:8" x14ac:dyDescent="0.35">
      <c r="A2" s="6" t="s">
        <v>56</v>
      </c>
      <c r="B2" s="6" t="s">
        <v>57</v>
      </c>
      <c r="C2" s="6" t="s">
        <v>58</v>
      </c>
      <c r="D2" s="6">
        <v>4</v>
      </c>
      <c r="E2" s="6">
        <v>93</v>
      </c>
      <c r="F2" s="6"/>
      <c r="G2" s="6" t="s">
        <v>59</v>
      </c>
      <c r="H2" s="6" t="s">
        <v>60</v>
      </c>
    </row>
    <row r="3" spans="1:8" x14ac:dyDescent="0.35">
      <c r="A3" s="6" t="s">
        <v>61</v>
      </c>
      <c r="B3" s="6" t="s">
        <v>62</v>
      </c>
      <c r="C3" s="6" t="s">
        <v>63</v>
      </c>
      <c r="D3" s="6">
        <v>248</v>
      </c>
      <c r="E3" s="6">
        <v>358</v>
      </c>
      <c r="F3" s="6"/>
      <c r="G3" s="6" t="s">
        <v>64</v>
      </c>
      <c r="H3" s="6" t="s">
        <v>65</v>
      </c>
    </row>
    <row r="4" spans="1:8" x14ac:dyDescent="0.35">
      <c r="A4" s="6" t="s">
        <v>66</v>
      </c>
      <c r="B4" s="6" t="s">
        <v>67</v>
      </c>
      <c r="C4" s="6" t="s">
        <v>68</v>
      </c>
      <c r="D4" s="6">
        <v>8</v>
      </c>
      <c r="E4" s="6">
        <v>355</v>
      </c>
      <c r="F4" s="6"/>
      <c r="G4" s="6" t="s">
        <v>69</v>
      </c>
      <c r="H4" s="6"/>
    </row>
    <row r="5" spans="1:8" x14ac:dyDescent="0.35">
      <c r="A5" s="6" t="s">
        <v>70</v>
      </c>
      <c r="B5" s="6" t="s">
        <v>71</v>
      </c>
      <c r="C5" s="6" t="s">
        <v>72</v>
      </c>
      <c r="D5" s="6">
        <v>12</v>
      </c>
      <c r="E5" s="6">
        <v>213</v>
      </c>
      <c r="F5" s="6"/>
      <c r="G5" s="6"/>
      <c r="H5" s="6"/>
    </row>
    <row r="6" spans="1:8" x14ac:dyDescent="0.35">
      <c r="A6" s="6" t="s">
        <v>73</v>
      </c>
      <c r="B6" s="6" t="s">
        <v>74</v>
      </c>
      <c r="C6" s="6" t="s">
        <v>75</v>
      </c>
      <c r="D6" s="6">
        <v>16</v>
      </c>
      <c r="E6" s="6">
        <v>1684</v>
      </c>
      <c r="F6" s="6"/>
      <c r="G6" s="7" t="s">
        <v>76</v>
      </c>
      <c r="H6" s="6"/>
    </row>
    <row r="7" spans="1:8" x14ac:dyDescent="0.35">
      <c r="A7" s="6" t="s">
        <v>77</v>
      </c>
      <c r="B7" s="6" t="s">
        <v>78</v>
      </c>
      <c r="C7" s="6" t="s">
        <v>79</v>
      </c>
      <c r="D7" s="6">
        <v>20</v>
      </c>
      <c r="E7" s="6">
        <v>376</v>
      </c>
      <c r="F7" s="6"/>
      <c r="G7" s="7" t="s">
        <v>80</v>
      </c>
      <c r="H7" s="6"/>
    </row>
    <row r="8" spans="1:8" x14ac:dyDescent="0.35">
      <c r="A8" s="6" t="s">
        <v>81</v>
      </c>
      <c r="B8" s="6" t="s">
        <v>82</v>
      </c>
      <c r="C8" s="6" t="s">
        <v>83</v>
      </c>
      <c r="D8" s="6">
        <v>24</v>
      </c>
      <c r="E8" s="6">
        <v>244</v>
      </c>
      <c r="F8" s="6"/>
      <c r="G8" s="6"/>
      <c r="H8" s="6"/>
    </row>
    <row r="9" spans="1:8" x14ac:dyDescent="0.35">
      <c r="A9" s="6" t="s">
        <v>84</v>
      </c>
      <c r="B9" s="6" t="s">
        <v>85</v>
      </c>
      <c r="C9" s="6" t="s">
        <v>86</v>
      </c>
      <c r="D9" s="6">
        <v>660</v>
      </c>
      <c r="E9" s="6">
        <v>1264</v>
      </c>
      <c r="F9" s="6"/>
      <c r="G9" s="6"/>
      <c r="H9" s="6"/>
    </row>
    <row r="10" spans="1:8" x14ac:dyDescent="0.35">
      <c r="A10" s="6" t="s">
        <v>87</v>
      </c>
      <c r="B10" s="6" t="s">
        <v>88</v>
      </c>
      <c r="C10" s="6" t="s">
        <v>89</v>
      </c>
      <c r="D10" s="6">
        <v>10</v>
      </c>
      <c r="E10" s="6">
        <v>672</v>
      </c>
      <c r="F10" s="6"/>
      <c r="G10" s="6"/>
      <c r="H10" s="6"/>
    </row>
    <row r="11" spans="1:8" x14ac:dyDescent="0.35">
      <c r="A11" s="6" t="s">
        <v>90</v>
      </c>
      <c r="B11" s="6" t="s">
        <v>91</v>
      </c>
      <c r="C11" s="6" t="s">
        <v>92</v>
      </c>
      <c r="D11" s="6">
        <v>28</v>
      </c>
      <c r="E11" s="6">
        <v>1268</v>
      </c>
      <c r="F11" s="6"/>
      <c r="G11" s="6"/>
      <c r="H11" s="6"/>
    </row>
    <row r="12" spans="1:8" x14ac:dyDescent="0.35">
      <c r="A12" s="6" t="s">
        <v>93</v>
      </c>
      <c r="B12" s="6" t="s">
        <v>94</v>
      </c>
      <c r="C12" s="6" t="s">
        <v>95</v>
      </c>
      <c r="D12" s="6">
        <v>32</v>
      </c>
      <c r="E12" s="6">
        <v>54</v>
      </c>
      <c r="F12" s="6"/>
      <c r="G12" s="6"/>
      <c r="H12" s="6"/>
    </row>
    <row r="13" spans="1:8" x14ac:dyDescent="0.35">
      <c r="A13" s="6" t="s">
        <v>96</v>
      </c>
      <c r="B13" s="6" t="s">
        <v>97</v>
      </c>
      <c r="C13" s="6" t="s">
        <v>98</v>
      </c>
      <c r="D13" s="6">
        <v>51</v>
      </c>
      <c r="E13" s="6">
        <v>374</v>
      </c>
      <c r="F13" s="6"/>
      <c r="G13" s="6"/>
      <c r="H13" s="6"/>
    </row>
    <row r="14" spans="1:8" x14ac:dyDescent="0.35">
      <c r="A14" s="6" t="s">
        <v>99</v>
      </c>
      <c r="B14" s="6" t="s">
        <v>100</v>
      </c>
      <c r="C14" s="6" t="s">
        <v>101</v>
      </c>
      <c r="D14" s="6">
        <v>533</v>
      </c>
      <c r="E14" s="6">
        <v>297</v>
      </c>
      <c r="F14" s="6"/>
      <c r="G14" s="6"/>
      <c r="H14" s="6"/>
    </row>
    <row r="15" spans="1:8" x14ac:dyDescent="0.35">
      <c r="A15" s="6" t="s">
        <v>102</v>
      </c>
      <c r="B15" s="6" t="s">
        <v>103</v>
      </c>
      <c r="C15" s="6" t="s">
        <v>104</v>
      </c>
      <c r="D15" s="6">
        <v>36</v>
      </c>
      <c r="E15" s="6">
        <v>61</v>
      </c>
      <c r="F15" s="6"/>
      <c r="G15" s="6"/>
      <c r="H15" s="6"/>
    </row>
    <row r="16" spans="1:8" x14ac:dyDescent="0.35">
      <c r="A16" s="6" t="s">
        <v>105</v>
      </c>
      <c r="B16" s="6" t="s">
        <v>106</v>
      </c>
      <c r="C16" s="6" t="s">
        <v>107</v>
      </c>
      <c r="D16" s="6">
        <v>40</v>
      </c>
      <c r="E16" s="6">
        <v>43</v>
      </c>
      <c r="F16" s="6"/>
      <c r="G16" s="6"/>
      <c r="H16" s="6"/>
    </row>
    <row r="17" spans="1:8" x14ac:dyDescent="0.35">
      <c r="A17" s="6" t="s">
        <v>108</v>
      </c>
      <c r="B17" s="6" t="s">
        <v>109</v>
      </c>
      <c r="C17" s="6" t="s">
        <v>110</v>
      </c>
      <c r="D17" s="6">
        <v>31</v>
      </c>
      <c r="E17" s="6">
        <v>994</v>
      </c>
      <c r="F17" s="6"/>
      <c r="G17" s="6"/>
      <c r="H17" s="6"/>
    </row>
    <row r="18" spans="1:8" x14ac:dyDescent="0.35">
      <c r="A18" s="6" t="s">
        <v>111</v>
      </c>
      <c r="B18" s="6" t="s">
        <v>112</v>
      </c>
      <c r="C18" s="6" t="s">
        <v>113</v>
      </c>
      <c r="D18" s="6">
        <v>44</v>
      </c>
      <c r="E18" s="6">
        <v>1242</v>
      </c>
      <c r="F18" s="6"/>
      <c r="G18" s="6"/>
      <c r="H18" s="6"/>
    </row>
    <row r="19" spans="1:8" x14ac:dyDescent="0.35">
      <c r="A19" s="6" t="s">
        <v>114</v>
      </c>
      <c r="B19" s="6" t="s">
        <v>115</v>
      </c>
      <c r="C19" s="6" t="s">
        <v>116</v>
      </c>
      <c r="D19" s="6">
        <v>48</v>
      </c>
      <c r="E19" s="6">
        <v>973</v>
      </c>
      <c r="F19" s="6"/>
      <c r="G19" s="6"/>
      <c r="H19" s="6"/>
    </row>
    <row r="20" spans="1:8" x14ac:dyDescent="0.35">
      <c r="A20" s="6" t="s">
        <v>117</v>
      </c>
      <c r="B20" s="6" t="s">
        <v>118</v>
      </c>
      <c r="C20" s="6" t="s">
        <v>119</v>
      </c>
      <c r="D20" s="6">
        <v>50</v>
      </c>
      <c r="E20" s="6">
        <v>880</v>
      </c>
      <c r="F20" s="6"/>
      <c r="G20" s="6"/>
      <c r="H20" s="6"/>
    </row>
    <row r="21" spans="1:8" x14ac:dyDescent="0.35">
      <c r="A21" s="6" t="s">
        <v>120</v>
      </c>
      <c r="B21" s="6" t="s">
        <v>121</v>
      </c>
      <c r="C21" s="6" t="s">
        <v>122</v>
      </c>
      <c r="D21" s="6">
        <v>52</v>
      </c>
      <c r="E21" s="6">
        <v>1246</v>
      </c>
      <c r="F21" s="6"/>
      <c r="G21" s="6"/>
      <c r="H21" s="6"/>
    </row>
    <row r="22" spans="1:8" x14ac:dyDescent="0.35">
      <c r="A22" s="6" t="s">
        <v>123</v>
      </c>
      <c r="B22" s="6" t="s">
        <v>124</v>
      </c>
      <c r="C22" s="6" t="s">
        <v>125</v>
      </c>
      <c r="D22" s="6">
        <v>112</v>
      </c>
      <c r="E22" s="6">
        <v>375</v>
      </c>
      <c r="F22" s="6"/>
      <c r="G22" s="6"/>
      <c r="H22" s="6"/>
    </row>
    <row r="23" spans="1:8" x14ac:dyDescent="0.35">
      <c r="A23" s="6" t="s">
        <v>126</v>
      </c>
      <c r="B23" s="6" t="s">
        <v>127</v>
      </c>
      <c r="C23" s="6" t="s">
        <v>128</v>
      </c>
      <c r="D23" s="6">
        <v>56</v>
      </c>
      <c r="E23" s="6">
        <v>32</v>
      </c>
      <c r="F23" s="6"/>
      <c r="G23" s="6"/>
      <c r="H23" s="6"/>
    </row>
    <row r="24" spans="1:8" x14ac:dyDescent="0.35">
      <c r="A24" s="6" t="s">
        <v>129</v>
      </c>
      <c r="B24" s="6" t="s">
        <v>130</v>
      </c>
      <c r="C24" s="6" t="s">
        <v>131</v>
      </c>
      <c r="D24" s="6">
        <v>84</v>
      </c>
      <c r="E24" s="6">
        <v>501</v>
      </c>
      <c r="F24" s="6"/>
      <c r="G24" s="6"/>
      <c r="H24" s="6"/>
    </row>
    <row r="25" spans="1:8" x14ac:dyDescent="0.35">
      <c r="A25" s="6" t="s">
        <v>132</v>
      </c>
      <c r="B25" s="6" t="s">
        <v>133</v>
      </c>
      <c r="C25" s="6" t="s">
        <v>134</v>
      </c>
      <c r="D25" s="6">
        <v>204</v>
      </c>
      <c r="E25" s="6">
        <v>229</v>
      </c>
      <c r="F25" s="6"/>
      <c r="G25" s="6"/>
      <c r="H25" s="6"/>
    </row>
    <row r="26" spans="1:8" x14ac:dyDescent="0.35">
      <c r="A26" s="6" t="s">
        <v>135</v>
      </c>
      <c r="B26" s="6" t="s">
        <v>136</v>
      </c>
      <c r="C26" s="6" t="s">
        <v>137</v>
      </c>
      <c r="D26" s="6">
        <v>60</v>
      </c>
      <c r="E26" s="6">
        <v>1441</v>
      </c>
      <c r="F26" s="6"/>
      <c r="G26" s="6"/>
      <c r="H26" s="6"/>
    </row>
    <row r="27" spans="1:8" x14ac:dyDescent="0.35">
      <c r="A27" s="6" t="s">
        <v>138</v>
      </c>
      <c r="B27" s="6" t="s">
        <v>139</v>
      </c>
      <c r="C27" s="6" t="s">
        <v>140</v>
      </c>
      <c r="D27" s="6">
        <v>64</v>
      </c>
      <c r="E27" s="6">
        <v>975</v>
      </c>
      <c r="F27" s="6"/>
      <c r="G27" s="6"/>
      <c r="H27" s="6"/>
    </row>
    <row r="28" spans="1:8" x14ac:dyDescent="0.35">
      <c r="A28" s="6" t="s">
        <v>141</v>
      </c>
      <c r="B28" s="6" t="s">
        <v>142</v>
      </c>
      <c r="C28" s="6" t="s">
        <v>143</v>
      </c>
      <c r="D28" s="6">
        <v>68</v>
      </c>
      <c r="E28" s="6">
        <v>591</v>
      </c>
      <c r="F28" s="6"/>
      <c r="G28" s="6"/>
      <c r="H28" s="6"/>
    </row>
    <row r="29" spans="1:8" x14ac:dyDescent="0.35">
      <c r="A29" s="6" t="s">
        <v>144</v>
      </c>
      <c r="B29" s="6" t="s">
        <v>145</v>
      </c>
      <c r="C29" s="6" t="s">
        <v>146</v>
      </c>
      <c r="D29" s="6">
        <v>535</v>
      </c>
      <c r="E29" s="6">
        <v>599</v>
      </c>
      <c r="F29" s="6"/>
      <c r="G29" s="6"/>
      <c r="H29" s="6"/>
    </row>
    <row r="30" spans="1:8" x14ac:dyDescent="0.35">
      <c r="A30" s="6" t="s">
        <v>147</v>
      </c>
      <c r="B30" s="6" t="s">
        <v>148</v>
      </c>
      <c r="C30" s="6" t="s">
        <v>149</v>
      </c>
      <c r="D30" s="6">
        <v>70</v>
      </c>
      <c r="E30" s="6">
        <v>387</v>
      </c>
      <c r="F30" s="6"/>
      <c r="G30" s="6"/>
      <c r="H30" s="6"/>
    </row>
    <row r="31" spans="1:8" x14ac:dyDescent="0.35">
      <c r="A31" s="6" t="s">
        <v>150</v>
      </c>
      <c r="B31" s="6" t="s">
        <v>151</v>
      </c>
      <c r="C31" s="6" t="s">
        <v>152</v>
      </c>
      <c r="D31" s="6">
        <v>72</v>
      </c>
      <c r="E31" s="6">
        <v>267</v>
      </c>
      <c r="F31" s="6"/>
      <c r="G31" s="6"/>
      <c r="H31" s="6"/>
    </row>
    <row r="32" spans="1:8" x14ac:dyDescent="0.35">
      <c r="A32" s="6" t="s">
        <v>153</v>
      </c>
      <c r="B32" s="6" t="s">
        <v>154</v>
      </c>
      <c r="C32" s="6" t="s">
        <v>155</v>
      </c>
      <c r="D32" s="6">
        <v>74</v>
      </c>
      <c r="E32" s="6">
        <v>47</v>
      </c>
      <c r="F32" s="6"/>
      <c r="G32" s="6"/>
      <c r="H32" s="6"/>
    </row>
    <row r="33" spans="1:8" x14ac:dyDescent="0.35">
      <c r="A33" s="6" t="s">
        <v>156</v>
      </c>
      <c r="B33" s="6" t="s">
        <v>157</v>
      </c>
      <c r="C33" s="6" t="s">
        <v>158</v>
      </c>
      <c r="D33" s="6">
        <v>76</v>
      </c>
      <c r="E33" s="6">
        <v>55</v>
      </c>
      <c r="F33" s="6"/>
      <c r="G33" s="6"/>
      <c r="H33" s="6"/>
    </row>
    <row r="34" spans="1:8" x14ac:dyDescent="0.35">
      <c r="A34" s="6" t="s">
        <v>159</v>
      </c>
      <c r="B34" s="6" t="s">
        <v>160</v>
      </c>
      <c r="C34" s="6" t="s">
        <v>161</v>
      </c>
      <c r="D34" s="6">
        <v>86</v>
      </c>
      <c r="E34" s="6">
        <v>246</v>
      </c>
      <c r="F34" s="6"/>
      <c r="G34" s="6"/>
      <c r="H34" s="6"/>
    </row>
    <row r="35" spans="1:8" x14ac:dyDescent="0.35">
      <c r="A35" s="6" t="s">
        <v>162</v>
      </c>
      <c r="B35" s="6" t="s">
        <v>163</v>
      </c>
      <c r="C35" s="6" t="s">
        <v>164</v>
      </c>
      <c r="D35" s="6">
        <v>92</v>
      </c>
      <c r="E35" s="6">
        <v>1284</v>
      </c>
      <c r="F35" s="6"/>
      <c r="G35" s="6"/>
      <c r="H35" s="6"/>
    </row>
    <row r="36" spans="1:8" x14ac:dyDescent="0.35">
      <c r="A36" s="6" t="s">
        <v>165</v>
      </c>
      <c r="B36" s="6" t="s">
        <v>166</v>
      </c>
      <c r="C36" s="6" t="s">
        <v>167</v>
      </c>
      <c r="D36" s="6">
        <v>96</v>
      </c>
      <c r="E36" s="6">
        <v>673</v>
      </c>
      <c r="F36" s="6"/>
      <c r="G36" s="6"/>
      <c r="H36" s="6"/>
    </row>
    <row r="37" spans="1:8" x14ac:dyDescent="0.35">
      <c r="A37" s="6" t="s">
        <v>168</v>
      </c>
      <c r="B37" s="6" t="s">
        <v>169</v>
      </c>
      <c r="C37" s="6" t="s">
        <v>170</v>
      </c>
      <c r="D37" s="6">
        <v>100</v>
      </c>
      <c r="E37" s="6">
        <v>359</v>
      </c>
      <c r="F37" s="6"/>
      <c r="G37" s="6"/>
      <c r="H37" s="6"/>
    </row>
    <row r="38" spans="1:8" x14ac:dyDescent="0.35">
      <c r="A38" s="6" t="s">
        <v>171</v>
      </c>
      <c r="B38" s="6" t="s">
        <v>172</v>
      </c>
      <c r="C38" s="6" t="s">
        <v>173</v>
      </c>
      <c r="D38" s="6">
        <v>854</v>
      </c>
      <c r="E38" s="6">
        <v>226</v>
      </c>
      <c r="F38" s="6"/>
      <c r="G38" s="6"/>
      <c r="H38" s="6"/>
    </row>
    <row r="39" spans="1:8" x14ac:dyDescent="0.35">
      <c r="A39" s="6" t="s">
        <v>174</v>
      </c>
      <c r="B39" s="6" t="s">
        <v>175</v>
      </c>
      <c r="C39" s="6" t="s">
        <v>176</v>
      </c>
      <c r="D39" s="6">
        <v>108</v>
      </c>
      <c r="E39" s="6">
        <v>257</v>
      </c>
      <c r="F39" s="6"/>
      <c r="G39" s="6"/>
      <c r="H39" s="6"/>
    </row>
    <row r="40" spans="1:8" x14ac:dyDescent="0.35">
      <c r="A40" s="6" t="s">
        <v>177</v>
      </c>
      <c r="B40" s="6" t="s">
        <v>178</v>
      </c>
      <c r="C40" s="6" t="s">
        <v>179</v>
      </c>
      <c r="D40" s="6">
        <v>132</v>
      </c>
      <c r="E40" s="6">
        <v>238</v>
      </c>
      <c r="F40" s="6"/>
      <c r="G40" s="6"/>
      <c r="H40" s="6"/>
    </row>
    <row r="41" spans="1:8" x14ac:dyDescent="0.35">
      <c r="A41" s="6" t="s">
        <v>180</v>
      </c>
      <c r="B41" s="6" t="s">
        <v>181</v>
      </c>
      <c r="C41" s="6" t="s">
        <v>182</v>
      </c>
      <c r="D41" s="6">
        <v>116</v>
      </c>
      <c r="E41" s="6">
        <v>855</v>
      </c>
      <c r="F41" s="6"/>
      <c r="G41" s="6"/>
      <c r="H41" s="6"/>
    </row>
    <row r="42" spans="1:8" x14ac:dyDescent="0.35">
      <c r="A42" s="6" t="s">
        <v>183</v>
      </c>
      <c r="B42" s="6" t="s">
        <v>184</v>
      </c>
      <c r="C42" s="6" t="s">
        <v>185</v>
      </c>
      <c r="D42" s="6">
        <v>120</v>
      </c>
      <c r="E42" s="6">
        <v>237</v>
      </c>
      <c r="F42" s="6"/>
      <c r="G42" s="6"/>
      <c r="H42" s="6"/>
    </row>
    <row r="43" spans="1:8" x14ac:dyDescent="0.35">
      <c r="A43" s="6" t="s">
        <v>186</v>
      </c>
      <c r="B43" s="6" t="s">
        <v>187</v>
      </c>
      <c r="C43" s="6" t="s">
        <v>188</v>
      </c>
      <c r="D43" s="6">
        <v>124</v>
      </c>
      <c r="E43" s="6">
        <v>1</v>
      </c>
      <c r="F43" s="6"/>
      <c r="G43" s="6"/>
      <c r="H43" s="6"/>
    </row>
    <row r="44" spans="1:8" x14ac:dyDescent="0.35">
      <c r="A44" s="6" t="s">
        <v>189</v>
      </c>
      <c r="B44" s="6" t="s">
        <v>190</v>
      </c>
      <c r="C44" s="6" t="s">
        <v>191</v>
      </c>
      <c r="D44" s="6">
        <v>136</v>
      </c>
      <c r="E44" s="6">
        <v>1345</v>
      </c>
      <c r="F44" s="6"/>
      <c r="G44" s="6"/>
      <c r="H44" s="6"/>
    </row>
    <row r="45" spans="1:8" x14ac:dyDescent="0.35">
      <c r="A45" s="6" t="s">
        <v>192</v>
      </c>
      <c r="B45" s="6" t="s">
        <v>193</v>
      </c>
      <c r="C45" s="6" t="s">
        <v>194</v>
      </c>
      <c r="D45" s="6">
        <v>140</v>
      </c>
      <c r="E45" s="6">
        <v>236</v>
      </c>
      <c r="F45" s="6"/>
      <c r="G45" s="6"/>
      <c r="H45" s="6"/>
    </row>
    <row r="46" spans="1:8" x14ac:dyDescent="0.35">
      <c r="A46" s="6" t="s">
        <v>195</v>
      </c>
      <c r="B46" s="6" t="s">
        <v>196</v>
      </c>
      <c r="C46" s="6" t="s">
        <v>197</v>
      </c>
      <c r="D46" s="6">
        <v>148</v>
      </c>
      <c r="E46" s="6">
        <v>235</v>
      </c>
      <c r="F46" s="6"/>
      <c r="G46" s="6"/>
      <c r="H46" s="6"/>
    </row>
    <row r="47" spans="1:8" x14ac:dyDescent="0.35">
      <c r="A47" s="6" t="s">
        <v>198</v>
      </c>
      <c r="B47" s="6" t="s">
        <v>199</v>
      </c>
      <c r="C47" s="6" t="s">
        <v>200</v>
      </c>
      <c r="D47" s="6">
        <v>152</v>
      </c>
      <c r="E47" s="6">
        <v>56</v>
      </c>
      <c r="F47" s="6"/>
      <c r="G47" s="6"/>
      <c r="H47" s="6"/>
    </row>
    <row r="48" spans="1:8" x14ac:dyDescent="0.35">
      <c r="A48" s="6" t="s">
        <v>201</v>
      </c>
      <c r="B48" s="6" t="s">
        <v>202</v>
      </c>
      <c r="C48" s="6" t="s">
        <v>203</v>
      </c>
      <c r="D48" s="6">
        <v>156</v>
      </c>
      <c r="E48" s="6">
        <v>86</v>
      </c>
      <c r="F48" s="6"/>
      <c r="G48" s="6"/>
      <c r="H48" s="6"/>
    </row>
    <row r="49" spans="1:8" x14ac:dyDescent="0.35">
      <c r="A49" s="6" t="s">
        <v>204</v>
      </c>
      <c r="B49" s="6" t="s">
        <v>205</v>
      </c>
      <c r="C49" s="6" t="s">
        <v>206</v>
      </c>
      <c r="D49" s="6">
        <v>162</v>
      </c>
      <c r="E49" s="6">
        <v>61</v>
      </c>
      <c r="F49" s="6"/>
      <c r="G49" s="6"/>
      <c r="H49" s="6"/>
    </row>
    <row r="50" spans="1:8" x14ac:dyDescent="0.35">
      <c r="A50" s="6" t="s">
        <v>207</v>
      </c>
      <c r="B50" s="6" t="s">
        <v>208</v>
      </c>
      <c r="C50" s="6" t="s">
        <v>209</v>
      </c>
      <c r="D50" s="6">
        <v>166</v>
      </c>
      <c r="E50" s="6">
        <v>61</v>
      </c>
      <c r="F50" s="6"/>
      <c r="G50" s="6"/>
      <c r="H50" s="6"/>
    </row>
    <row r="51" spans="1:8" x14ac:dyDescent="0.35">
      <c r="A51" s="6" t="s">
        <v>210</v>
      </c>
      <c r="B51" s="6" t="s">
        <v>211</v>
      </c>
      <c r="C51" s="6" t="s">
        <v>212</v>
      </c>
      <c r="D51" s="6">
        <v>170</v>
      </c>
      <c r="E51" s="6">
        <v>57</v>
      </c>
      <c r="F51" s="6"/>
      <c r="G51" s="6"/>
      <c r="H51" s="6"/>
    </row>
    <row r="52" spans="1:8" x14ac:dyDescent="0.35">
      <c r="A52" s="6" t="s">
        <v>213</v>
      </c>
      <c r="B52" s="6" t="s">
        <v>214</v>
      </c>
      <c r="C52" s="6" t="s">
        <v>215</v>
      </c>
      <c r="D52" s="6">
        <v>174</v>
      </c>
      <c r="E52" s="6">
        <v>269</v>
      </c>
    </row>
    <row r="53" spans="1:8" x14ac:dyDescent="0.35">
      <c r="A53" s="6" t="s">
        <v>216</v>
      </c>
      <c r="B53" s="6" t="s">
        <v>217</v>
      </c>
      <c r="C53" s="6" t="s">
        <v>218</v>
      </c>
      <c r="D53" s="6">
        <v>178</v>
      </c>
      <c r="E53" s="6">
        <v>242</v>
      </c>
    </row>
    <row r="54" spans="1:8" x14ac:dyDescent="0.35">
      <c r="A54" s="6" t="s">
        <v>219</v>
      </c>
      <c r="B54" s="6" t="s">
        <v>220</v>
      </c>
      <c r="C54" s="6" t="s">
        <v>221</v>
      </c>
      <c r="D54" s="6">
        <v>180</v>
      </c>
      <c r="E54" s="6">
        <v>243</v>
      </c>
    </row>
    <row r="55" spans="1:8" x14ac:dyDescent="0.35">
      <c r="A55" s="6" t="s">
        <v>222</v>
      </c>
      <c r="B55" s="6" t="s">
        <v>223</v>
      </c>
      <c r="C55" s="6" t="s">
        <v>224</v>
      </c>
      <c r="D55" s="6">
        <v>184</v>
      </c>
      <c r="E55" s="6">
        <v>682</v>
      </c>
    </row>
    <row r="56" spans="1:8" x14ac:dyDescent="0.35">
      <c r="A56" s="6" t="s">
        <v>225</v>
      </c>
      <c r="B56" s="6" t="s">
        <v>226</v>
      </c>
      <c r="C56" s="6" t="s">
        <v>227</v>
      </c>
      <c r="D56" s="6">
        <v>188</v>
      </c>
      <c r="E56" s="6">
        <v>506</v>
      </c>
    </row>
    <row r="57" spans="1:8" x14ac:dyDescent="0.35">
      <c r="A57" s="6" t="s">
        <v>228</v>
      </c>
      <c r="B57" s="6" t="s">
        <v>229</v>
      </c>
      <c r="C57" s="6" t="s">
        <v>230</v>
      </c>
      <c r="D57" s="6">
        <v>384</v>
      </c>
      <c r="E57" s="6">
        <v>225</v>
      </c>
    </row>
    <row r="58" spans="1:8" x14ac:dyDescent="0.35">
      <c r="A58" s="6" t="s">
        <v>231</v>
      </c>
      <c r="B58" s="6" t="s">
        <v>232</v>
      </c>
      <c r="C58" s="6" t="s">
        <v>233</v>
      </c>
      <c r="D58" s="6">
        <v>191</v>
      </c>
      <c r="E58" s="6">
        <v>385</v>
      </c>
    </row>
    <row r="59" spans="1:8" x14ac:dyDescent="0.35">
      <c r="A59" s="6" t="s">
        <v>234</v>
      </c>
      <c r="B59" s="6" t="s">
        <v>235</v>
      </c>
      <c r="C59" s="6" t="s">
        <v>236</v>
      </c>
      <c r="D59" s="6">
        <v>192</v>
      </c>
      <c r="E59" s="6">
        <v>53</v>
      </c>
    </row>
    <row r="60" spans="1:8" x14ac:dyDescent="0.35">
      <c r="A60" s="6" t="s">
        <v>237</v>
      </c>
      <c r="B60" s="6" t="s">
        <v>238</v>
      </c>
      <c r="C60" s="6" t="s">
        <v>239</v>
      </c>
      <c r="D60" s="6">
        <v>531</v>
      </c>
      <c r="E60" s="6">
        <v>599</v>
      </c>
    </row>
    <row r="61" spans="1:8" x14ac:dyDescent="0.35">
      <c r="A61" s="6" t="s">
        <v>240</v>
      </c>
      <c r="B61" s="6" t="s">
        <v>241</v>
      </c>
      <c r="C61" s="6" t="s">
        <v>242</v>
      </c>
      <c r="D61" s="6">
        <v>196</v>
      </c>
      <c r="E61" s="6">
        <v>357</v>
      </c>
    </row>
    <row r="62" spans="1:8" x14ac:dyDescent="0.35">
      <c r="A62" s="6" t="s">
        <v>243</v>
      </c>
      <c r="B62" s="6" t="s">
        <v>244</v>
      </c>
      <c r="C62" s="6" t="s">
        <v>245</v>
      </c>
      <c r="D62" s="6">
        <v>203</v>
      </c>
      <c r="E62" s="6">
        <v>420</v>
      </c>
    </row>
    <row r="63" spans="1:8" x14ac:dyDescent="0.35">
      <c r="A63" s="6" t="s">
        <v>246</v>
      </c>
      <c r="B63" s="6" t="s">
        <v>247</v>
      </c>
      <c r="C63" s="6" t="s">
        <v>248</v>
      </c>
      <c r="D63" s="6">
        <v>208</v>
      </c>
      <c r="E63" s="6">
        <v>45</v>
      </c>
    </row>
    <row r="64" spans="1:8" x14ac:dyDescent="0.35">
      <c r="A64" s="6" t="s">
        <v>249</v>
      </c>
      <c r="B64" s="6" t="s">
        <v>250</v>
      </c>
      <c r="C64" s="6" t="s">
        <v>251</v>
      </c>
      <c r="D64" s="6">
        <v>262</v>
      </c>
      <c r="E64" s="6">
        <v>253</v>
      </c>
    </row>
    <row r="65" spans="1:5" x14ac:dyDescent="0.35">
      <c r="A65" s="6" t="s">
        <v>252</v>
      </c>
      <c r="B65" s="6" t="s">
        <v>253</v>
      </c>
      <c r="C65" s="6" t="s">
        <v>254</v>
      </c>
      <c r="D65" s="6">
        <v>212</v>
      </c>
      <c r="E65" s="6">
        <v>1767</v>
      </c>
    </row>
    <row r="66" spans="1:5" x14ac:dyDescent="0.35">
      <c r="A66" s="6" t="s">
        <v>255</v>
      </c>
      <c r="B66" s="6" t="s">
        <v>256</v>
      </c>
      <c r="C66" s="6" t="s">
        <v>257</v>
      </c>
      <c r="D66" s="6">
        <v>214</v>
      </c>
      <c r="E66" s="6">
        <v>1</v>
      </c>
    </row>
    <row r="67" spans="1:5" x14ac:dyDescent="0.35">
      <c r="A67" s="6" t="s">
        <v>258</v>
      </c>
      <c r="B67" s="6" t="s">
        <v>259</v>
      </c>
      <c r="C67" s="6" t="s">
        <v>260</v>
      </c>
      <c r="D67" s="6">
        <v>218</v>
      </c>
      <c r="E67" s="6">
        <v>593</v>
      </c>
    </row>
    <row r="68" spans="1:5" x14ac:dyDescent="0.35">
      <c r="A68" s="6" t="s">
        <v>261</v>
      </c>
      <c r="B68" s="6" t="s">
        <v>262</v>
      </c>
      <c r="C68" s="6" t="s">
        <v>263</v>
      </c>
      <c r="D68" s="6">
        <v>818</v>
      </c>
      <c r="E68" s="6">
        <v>20</v>
      </c>
    </row>
    <row r="69" spans="1:5" x14ac:dyDescent="0.35">
      <c r="A69" s="6" t="s">
        <v>264</v>
      </c>
      <c r="B69" s="6" t="s">
        <v>265</v>
      </c>
      <c r="C69" s="6" t="s">
        <v>266</v>
      </c>
      <c r="D69" s="6">
        <v>222</v>
      </c>
      <c r="E69" s="6">
        <v>503</v>
      </c>
    </row>
    <row r="70" spans="1:5" x14ac:dyDescent="0.35">
      <c r="A70" s="6" t="s">
        <v>267</v>
      </c>
      <c r="B70" s="6" t="s">
        <v>268</v>
      </c>
      <c r="C70" s="6" t="s">
        <v>269</v>
      </c>
      <c r="D70" s="6">
        <v>226</v>
      </c>
      <c r="E70" s="6">
        <v>240</v>
      </c>
    </row>
    <row r="71" spans="1:5" x14ac:dyDescent="0.35">
      <c r="A71" s="6" t="s">
        <v>270</v>
      </c>
      <c r="B71" s="6" t="s">
        <v>271</v>
      </c>
      <c r="C71" s="6" t="s">
        <v>272</v>
      </c>
      <c r="D71" s="6">
        <v>232</v>
      </c>
      <c r="E71" s="6">
        <v>291</v>
      </c>
    </row>
    <row r="72" spans="1:5" x14ac:dyDescent="0.35">
      <c r="A72" s="6" t="s">
        <v>273</v>
      </c>
      <c r="B72" s="6" t="s">
        <v>274</v>
      </c>
      <c r="C72" s="6" t="s">
        <v>275</v>
      </c>
      <c r="D72" s="6">
        <v>233</v>
      </c>
      <c r="E72" s="6">
        <v>372</v>
      </c>
    </row>
    <row r="73" spans="1:5" x14ac:dyDescent="0.35">
      <c r="A73" s="6" t="s">
        <v>276</v>
      </c>
      <c r="B73" s="6" t="s">
        <v>277</v>
      </c>
      <c r="C73" s="6" t="s">
        <v>278</v>
      </c>
      <c r="D73" s="6">
        <v>748</v>
      </c>
      <c r="E73" s="6">
        <v>268</v>
      </c>
    </row>
    <row r="74" spans="1:5" x14ac:dyDescent="0.35">
      <c r="A74" s="6" t="s">
        <v>279</v>
      </c>
      <c r="B74" s="6" t="s">
        <v>280</v>
      </c>
      <c r="C74" s="6" t="s">
        <v>281</v>
      </c>
      <c r="D74" s="6">
        <v>231</v>
      </c>
      <c r="E74" s="6">
        <v>251</v>
      </c>
    </row>
    <row r="75" spans="1:5" x14ac:dyDescent="0.35">
      <c r="A75" s="6" t="s">
        <v>282</v>
      </c>
      <c r="B75" s="6" t="s">
        <v>283</v>
      </c>
      <c r="C75" s="6" t="s">
        <v>284</v>
      </c>
      <c r="D75" s="6">
        <v>238</v>
      </c>
      <c r="E75" s="6">
        <v>500</v>
      </c>
    </row>
    <row r="76" spans="1:5" x14ac:dyDescent="0.35">
      <c r="A76" s="6" t="s">
        <v>285</v>
      </c>
      <c r="B76" s="6" t="s">
        <v>286</v>
      </c>
      <c r="C76" s="6" t="s">
        <v>287</v>
      </c>
      <c r="D76" s="6">
        <v>234</v>
      </c>
      <c r="E76" s="6">
        <v>298</v>
      </c>
    </row>
    <row r="77" spans="1:5" x14ac:dyDescent="0.35">
      <c r="A77" s="6" t="s">
        <v>288</v>
      </c>
      <c r="B77" s="6" t="s">
        <v>289</v>
      </c>
      <c r="C77" s="6" t="s">
        <v>290</v>
      </c>
      <c r="D77" s="6">
        <v>242</v>
      </c>
      <c r="E77" s="6">
        <v>679</v>
      </c>
    </row>
    <row r="78" spans="1:5" x14ac:dyDescent="0.35">
      <c r="A78" s="6" t="s">
        <v>291</v>
      </c>
      <c r="B78" s="6" t="s">
        <v>292</v>
      </c>
      <c r="C78" s="6" t="s">
        <v>293</v>
      </c>
      <c r="D78" s="6">
        <v>246</v>
      </c>
      <c r="E78" s="6">
        <v>358</v>
      </c>
    </row>
    <row r="79" spans="1:5" x14ac:dyDescent="0.35">
      <c r="A79" s="6" t="s">
        <v>294</v>
      </c>
      <c r="B79" s="6" t="s">
        <v>295</v>
      </c>
      <c r="C79" s="6" t="s">
        <v>296</v>
      </c>
      <c r="D79" s="6">
        <v>250</v>
      </c>
      <c r="E79" s="6">
        <v>33</v>
      </c>
    </row>
    <row r="80" spans="1:5" x14ac:dyDescent="0.35">
      <c r="A80" s="6" t="s">
        <v>297</v>
      </c>
      <c r="B80" s="6" t="s">
        <v>298</v>
      </c>
      <c r="C80" s="6" t="s">
        <v>299</v>
      </c>
      <c r="D80" s="6">
        <v>254</v>
      </c>
      <c r="E80" s="6">
        <v>594</v>
      </c>
    </row>
    <row r="81" spans="1:5" x14ac:dyDescent="0.35">
      <c r="A81" s="6" t="s">
        <v>300</v>
      </c>
      <c r="B81" s="6" t="s">
        <v>301</v>
      </c>
      <c r="C81" s="6" t="s">
        <v>302</v>
      </c>
      <c r="D81" s="6">
        <v>258</v>
      </c>
      <c r="E81" s="6">
        <v>689</v>
      </c>
    </row>
    <row r="82" spans="1:5" x14ac:dyDescent="0.35">
      <c r="A82" s="6" t="s">
        <v>303</v>
      </c>
      <c r="B82" s="6" t="s">
        <v>304</v>
      </c>
      <c r="C82" s="6" t="s">
        <v>305</v>
      </c>
      <c r="D82" s="6">
        <v>260</v>
      </c>
      <c r="E82" s="6">
        <v>262</v>
      </c>
    </row>
    <row r="83" spans="1:5" x14ac:dyDescent="0.35">
      <c r="A83" s="6" t="s">
        <v>306</v>
      </c>
      <c r="B83" s="6" t="s">
        <v>307</v>
      </c>
      <c r="C83" s="6" t="s">
        <v>308</v>
      </c>
      <c r="D83" s="6">
        <v>266</v>
      </c>
      <c r="E83" s="6">
        <v>241</v>
      </c>
    </row>
    <row r="84" spans="1:5" x14ac:dyDescent="0.35">
      <c r="A84" s="6" t="s">
        <v>309</v>
      </c>
      <c r="B84" s="6" t="s">
        <v>310</v>
      </c>
      <c r="C84" s="6" t="s">
        <v>311</v>
      </c>
      <c r="D84" s="6">
        <v>270</v>
      </c>
      <c r="E84" s="6">
        <v>220</v>
      </c>
    </row>
    <row r="85" spans="1:5" x14ac:dyDescent="0.35">
      <c r="A85" s="6" t="s">
        <v>312</v>
      </c>
      <c r="B85" s="6" t="s">
        <v>313</v>
      </c>
      <c r="C85" s="6" t="s">
        <v>314</v>
      </c>
      <c r="D85" s="6">
        <v>268</v>
      </c>
      <c r="E85" s="6">
        <v>995</v>
      </c>
    </row>
    <row r="86" spans="1:5" x14ac:dyDescent="0.35">
      <c r="A86" s="6" t="s">
        <v>315</v>
      </c>
      <c r="B86" s="6" t="s">
        <v>316</v>
      </c>
      <c r="C86" s="6" t="s">
        <v>317</v>
      </c>
      <c r="D86" s="6">
        <v>276</v>
      </c>
      <c r="E86" s="6">
        <v>49</v>
      </c>
    </row>
    <row r="87" spans="1:5" x14ac:dyDescent="0.35">
      <c r="A87" s="6" t="s">
        <v>318</v>
      </c>
      <c r="B87" s="6" t="s">
        <v>319</v>
      </c>
      <c r="C87" s="6" t="s">
        <v>320</v>
      </c>
      <c r="D87" s="6">
        <v>288</v>
      </c>
      <c r="E87" s="6">
        <v>233</v>
      </c>
    </row>
    <row r="88" spans="1:5" x14ac:dyDescent="0.35">
      <c r="A88" s="6" t="s">
        <v>321</v>
      </c>
      <c r="B88" s="6" t="s">
        <v>322</v>
      </c>
      <c r="C88" s="6" t="s">
        <v>323</v>
      </c>
      <c r="D88" s="6">
        <v>292</v>
      </c>
      <c r="E88" s="6">
        <v>350</v>
      </c>
    </row>
    <row r="89" spans="1:5" x14ac:dyDescent="0.35">
      <c r="A89" s="6" t="s">
        <v>324</v>
      </c>
      <c r="B89" s="6" t="s">
        <v>325</v>
      </c>
      <c r="C89" s="6" t="s">
        <v>326</v>
      </c>
      <c r="D89" s="6">
        <v>300</v>
      </c>
      <c r="E89" s="6">
        <v>30</v>
      </c>
    </row>
    <row r="90" spans="1:5" x14ac:dyDescent="0.35">
      <c r="A90" s="6" t="s">
        <v>327</v>
      </c>
      <c r="B90" s="6" t="s">
        <v>328</v>
      </c>
      <c r="C90" s="6" t="s">
        <v>329</v>
      </c>
      <c r="D90" s="6">
        <v>304</v>
      </c>
      <c r="E90" s="6">
        <v>299</v>
      </c>
    </row>
    <row r="91" spans="1:5" x14ac:dyDescent="0.35">
      <c r="A91" s="6" t="s">
        <v>330</v>
      </c>
      <c r="B91" s="6" t="s">
        <v>331</v>
      </c>
      <c r="C91" s="6" t="s">
        <v>332</v>
      </c>
      <c r="D91" s="6">
        <v>308</v>
      </c>
      <c r="E91" s="6">
        <v>1473</v>
      </c>
    </row>
    <row r="92" spans="1:5" x14ac:dyDescent="0.35">
      <c r="A92" s="6" t="s">
        <v>333</v>
      </c>
      <c r="B92" s="6" t="s">
        <v>334</v>
      </c>
      <c r="C92" s="6" t="s">
        <v>335</v>
      </c>
      <c r="D92" s="6">
        <v>312</v>
      </c>
      <c r="E92" s="6">
        <v>590</v>
      </c>
    </row>
    <row r="93" spans="1:5" x14ac:dyDescent="0.35">
      <c r="A93" s="6" t="s">
        <v>336</v>
      </c>
      <c r="B93" s="6" t="s">
        <v>337</v>
      </c>
      <c r="C93" s="6" t="s">
        <v>338</v>
      </c>
      <c r="D93" s="6">
        <v>316</v>
      </c>
      <c r="E93" s="6">
        <v>1671</v>
      </c>
    </row>
    <row r="94" spans="1:5" x14ac:dyDescent="0.35">
      <c r="A94" s="6" t="s">
        <v>339</v>
      </c>
      <c r="B94" s="6" t="s">
        <v>340</v>
      </c>
      <c r="C94" s="6" t="s">
        <v>341</v>
      </c>
      <c r="D94" s="6">
        <v>320</v>
      </c>
      <c r="E94" s="6">
        <v>502</v>
      </c>
    </row>
    <row r="95" spans="1:5" x14ac:dyDescent="0.35">
      <c r="A95" s="6" t="s">
        <v>342</v>
      </c>
      <c r="B95" s="6" t="s">
        <v>343</v>
      </c>
      <c r="C95" s="6" t="s">
        <v>344</v>
      </c>
      <c r="D95" s="6">
        <v>831</v>
      </c>
      <c r="E95" s="6">
        <v>44</v>
      </c>
    </row>
    <row r="96" spans="1:5" x14ac:dyDescent="0.35">
      <c r="A96" s="6" t="s">
        <v>345</v>
      </c>
      <c r="B96" s="6" t="s">
        <v>346</v>
      </c>
      <c r="C96" s="6" t="s">
        <v>347</v>
      </c>
      <c r="D96" s="6">
        <v>324</v>
      </c>
      <c r="E96" s="6">
        <v>224</v>
      </c>
    </row>
    <row r="97" spans="1:5" x14ac:dyDescent="0.35">
      <c r="A97" s="6" t="s">
        <v>348</v>
      </c>
      <c r="B97" s="6" t="s">
        <v>349</v>
      </c>
      <c r="C97" s="6" t="s">
        <v>350</v>
      </c>
      <c r="D97" s="6">
        <v>624</v>
      </c>
      <c r="E97" s="6">
        <v>245</v>
      </c>
    </row>
    <row r="98" spans="1:5" x14ac:dyDescent="0.35">
      <c r="A98" s="6" t="s">
        <v>351</v>
      </c>
      <c r="B98" s="6" t="s">
        <v>352</v>
      </c>
      <c r="C98" s="6" t="s">
        <v>353</v>
      </c>
      <c r="D98" s="6">
        <v>328</v>
      </c>
      <c r="E98" s="6">
        <v>592</v>
      </c>
    </row>
    <row r="99" spans="1:5" x14ac:dyDescent="0.35">
      <c r="A99" s="6" t="s">
        <v>354</v>
      </c>
      <c r="B99" s="6" t="s">
        <v>355</v>
      </c>
      <c r="C99" s="6" t="s">
        <v>356</v>
      </c>
      <c r="D99" s="6">
        <v>332</v>
      </c>
      <c r="E99" s="6">
        <v>509</v>
      </c>
    </row>
    <row r="100" spans="1:5" x14ac:dyDescent="0.35">
      <c r="A100" s="6" t="s">
        <v>357</v>
      </c>
      <c r="B100" s="6" t="s">
        <v>358</v>
      </c>
      <c r="C100" s="6" t="s">
        <v>359</v>
      </c>
      <c r="D100" s="6">
        <v>334</v>
      </c>
      <c r="E100" s="6">
        <v>672</v>
      </c>
    </row>
    <row r="101" spans="1:5" x14ac:dyDescent="0.35">
      <c r="A101" s="6" t="s">
        <v>360</v>
      </c>
      <c r="B101" s="6" t="s">
        <v>361</v>
      </c>
      <c r="C101" s="6" t="s">
        <v>362</v>
      </c>
      <c r="D101" s="6">
        <v>336</v>
      </c>
      <c r="E101" s="6">
        <v>39</v>
      </c>
    </row>
    <row r="102" spans="1:5" x14ac:dyDescent="0.35">
      <c r="A102" s="6" t="s">
        <v>363</v>
      </c>
      <c r="B102" s="6" t="s">
        <v>364</v>
      </c>
      <c r="C102" s="6" t="s">
        <v>365</v>
      </c>
      <c r="D102" s="6">
        <v>340</v>
      </c>
      <c r="E102" s="6">
        <v>504</v>
      </c>
    </row>
    <row r="103" spans="1:5" x14ac:dyDescent="0.35">
      <c r="A103" s="6" t="s">
        <v>366</v>
      </c>
      <c r="B103" s="6" t="s">
        <v>367</v>
      </c>
      <c r="C103" s="6" t="s">
        <v>368</v>
      </c>
      <c r="D103" s="6">
        <v>344</v>
      </c>
      <c r="E103" s="6">
        <v>852</v>
      </c>
    </row>
    <row r="104" spans="1:5" x14ac:dyDescent="0.35">
      <c r="A104" s="6" t="s">
        <v>369</v>
      </c>
      <c r="B104" s="6" t="s">
        <v>370</v>
      </c>
      <c r="C104" s="6" t="s">
        <v>371</v>
      </c>
      <c r="D104" s="6">
        <v>348</v>
      </c>
      <c r="E104" s="6">
        <v>36</v>
      </c>
    </row>
    <row r="105" spans="1:5" x14ac:dyDescent="0.35">
      <c r="A105" s="6" t="s">
        <v>372</v>
      </c>
      <c r="B105" s="6" t="s">
        <v>373</v>
      </c>
      <c r="C105" s="6" t="s">
        <v>374</v>
      </c>
      <c r="D105" s="6">
        <v>352</v>
      </c>
      <c r="E105" s="6">
        <v>354</v>
      </c>
    </row>
    <row r="106" spans="1:5" x14ac:dyDescent="0.35">
      <c r="A106" s="6" t="s">
        <v>375</v>
      </c>
      <c r="B106" s="6" t="s">
        <v>376</v>
      </c>
      <c r="C106" s="6" t="s">
        <v>377</v>
      </c>
      <c r="D106" s="6">
        <v>356</v>
      </c>
      <c r="E106" s="6">
        <v>91</v>
      </c>
    </row>
    <row r="107" spans="1:5" x14ac:dyDescent="0.35">
      <c r="A107" s="6" t="s">
        <v>378</v>
      </c>
      <c r="B107" s="6" t="s">
        <v>379</v>
      </c>
      <c r="C107" s="6" t="s">
        <v>380</v>
      </c>
      <c r="D107" s="6">
        <v>360</v>
      </c>
      <c r="E107" s="6">
        <v>62</v>
      </c>
    </row>
    <row r="108" spans="1:5" x14ac:dyDescent="0.35">
      <c r="A108" s="6" t="s">
        <v>381</v>
      </c>
      <c r="B108" s="6" t="s">
        <v>382</v>
      </c>
      <c r="C108" s="6" t="s">
        <v>383</v>
      </c>
      <c r="D108" s="6">
        <v>364</v>
      </c>
      <c r="E108" s="6">
        <v>98</v>
      </c>
    </row>
    <row r="109" spans="1:5" x14ac:dyDescent="0.35">
      <c r="A109" s="6" t="s">
        <v>384</v>
      </c>
      <c r="B109" s="6" t="s">
        <v>385</v>
      </c>
      <c r="C109" s="6" t="s">
        <v>386</v>
      </c>
      <c r="D109" s="6">
        <v>368</v>
      </c>
      <c r="E109" s="6">
        <v>964</v>
      </c>
    </row>
    <row r="110" spans="1:5" x14ac:dyDescent="0.35">
      <c r="A110" s="6" t="s">
        <v>387</v>
      </c>
      <c r="B110" s="6" t="s">
        <v>388</v>
      </c>
      <c r="C110" s="6" t="s">
        <v>389</v>
      </c>
      <c r="D110" s="6">
        <v>372</v>
      </c>
      <c r="E110" s="6">
        <v>353</v>
      </c>
    </row>
    <row r="111" spans="1:5" x14ac:dyDescent="0.35">
      <c r="A111" s="6" t="s">
        <v>390</v>
      </c>
      <c r="B111" s="6" t="s">
        <v>391</v>
      </c>
      <c r="C111" s="6" t="s">
        <v>392</v>
      </c>
      <c r="D111" s="6">
        <v>833</v>
      </c>
      <c r="E111" s="6">
        <v>44</v>
      </c>
    </row>
    <row r="112" spans="1:5" x14ac:dyDescent="0.35">
      <c r="A112" s="6" t="s">
        <v>393</v>
      </c>
      <c r="B112" s="6" t="s">
        <v>394</v>
      </c>
      <c r="C112" s="6" t="s">
        <v>395</v>
      </c>
      <c r="D112" s="6">
        <v>376</v>
      </c>
      <c r="E112" s="6">
        <v>972</v>
      </c>
    </row>
    <row r="113" spans="1:5" x14ac:dyDescent="0.35">
      <c r="A113" s="6" t="s">
        <v>396</v>
      </c>
      <c r="B113" s="6" t="s">
        <v>397</v>
      </c>
      <c r="C113" s="6" t="s">
        <v>398</v>
      </c>
      <c r="D113" s="6">
        <v>380</v>
      </c>
      <c r="E113" s="6">
        <v>39</v>
      </c>
    </row>
    <row r="114" spans="1:5" x14ac:dyDescent="0.35">
      <c r="A114" s="6" t="s">
        <v>399</v>
      </c>
      <c r="B114" s="6" t="s">
        <v>400</v>
      </c>
      <c r="C114" s="6" t="s">
        <v>401</v>
      </c>
      <c r="D114" s="6">
        <v>388</v>
      </c>
      <c r="E114" s="6">
        <v>1</v>
      </c>
    </row>
    <row r="115" spans="1:5" x14ac:dyDescent="0.35">
      <c r="A115" s="6" t="s">
        <v>402</v>
      </c>
      <c r="B115" s="6" t="s">
        <v>403</v>
      </c>
      <c r="C115" s="6" t="s">
        <v>404</v>
      </c>
      <c r="D115" s="6">
        <v>392</v>
      </c>
      <c r="E115" s="6">
        <v>81</v>
      </c>
    </row>
    <row r="116" spans="1:5" x14ac:dyDescent="0.35">
      <c r="A116" s="6" t="s">
        <v>405</v>
      </c>
      <c r="B116" s="6" t="s">
        <v>406</v>
      </c>
      <c r="C116" s="6" t="s">
        <v>407</v>
      </c>
      <c r="D116" s="6">
        <v>832</v>
      </c>
      <c r="E116" s="6">
        <v>44</v>
      </c>
    </row>
    <row r="117" spans="1:5" x14ac:dyDescent="0.35">
      <c r="A117" s="6" t="s">
        <v>408</v>
      </c>
      <c r="B117" s="6" t="s">
        <v>409</v>
      </c>
      <c r="C117" s="6" t="s">
        <v>410</v>
      </c>
      <c r="D117" s="6">
        <v>400</v>
      </c>
      <c r="E117" s="6">
        <v>962</v>
      </c>
    </row>
    <row r="118" spans="1:5" x14ac:dyDescent="0.35">
      <c r="A118" s="6" t="s">
        <v>411</v>
      </c>
      <c r="B118" s="6" t="s">
        <v>412</v>
      </c>
      <c r="C118" s="6" t="s">
        <v>413</v>
      </c>
      <c r="D118" s="6">
        <v>398</v>
      </c>
      <c r="E118" s="6">
        <v>7</v>
      </c>
    </row>
    <row r="119" spans="1:5" x14ac:dyDescent="0.35">
      <c r="A119" s="6" t="s">
        <v>414</v>
      </c>
      <c r="B119" s="6" t="s">
        <v>415</v>
      </c>
      <c r="C119" s="6" t="s">
        <v>416</v>
      </c>
      <c r="D119" s="6">
        <v>404</v>
      </c>
      <c r="E119" s="6">
        <v>254</v>
      </c>
    </row>
    <row r="120" spans="1:5" x14ac:dyDescent="0.35">
      <c r="A120" s="6" t="s">
        <v>417</v>
      </c>
      <c r="B120" s="6" t="s">
        <v>418</v>
      </c>
      <c r="C120" s="6" t="s">
        <v>419</v>
      </c>
      <c r="D120" s="6">
        <v>296</v>
      </c>
      <c r="E120" s="6">
        <v>686</v>
      </c>
    </row>
    <row r="121" spans="1:5" x14ac:dyDescent="0.35">
      <c r="A121" s="6" t="s">
        <v>420</v>
      </c>
      <c r="B121" s="6" t="s">
        <v>421</v>
      </c>
      <c r="C121" s="6" t="s">
        <v>422</v>
      </c>
      <c r="D121" s="6">
        <v>408</v>
      </c>
      <c r="E121" s="6">
        <v>850</v>
      </c>
    </row>
    <row r="122" spans="1:5" x14ac:dyDescent="0.35">
      <c r="A122" s="6" t="s">
        <v>423</v>
      </c>
      <c r="B122" s="6" t="s">
        <v>424</v>
      </c>
      <c r="C122" s="6" t="s">
        <v>425</v>
      </c>
      <c r="D122" s="6">
        <v>410</v>
      </c>
      <c r="E122" s="6">
        <v>82</v>
      </c>
    </row>
    <row r="123" spans="1:5" x14ac:dyDescent="0.35">
      <c r="A123" s="6" t="s">
        <v>426</v>
      </c>
      <c r="B123" s="6" t="s">
        <v>427</v>
      </c>
      <c r="C123" s="6" t="s">
        <v>428</v>
      </c>
      <c r="D123" s="6"/>
      <c r="E123" s="6">
        <v>383</v>
      </c>
    </row>
    <row r="124" spans="1:5" x14ac:dyDescent="0.35">
      <c r="A124" s="6" t="s">
        <v>429</v>
      </c>
      <c r="B124" s="6" t="s">
        <v>430</v>
      </c>
      <c r="C124" s="6" t="s">
        <v>431</v>
      </c>
      <c r="D124" s="6">
        <v>414</v>
      </c>
      <c r="E124" s="6">
        <v>965</v>
      </c>
    </row>
    <row r="125" spans="1:5" x14ac:dyDescent="0.35">
      <c r="A125" s="6" t="s">
        <v>432</v>
      </c>
      <c r="B125" s="6" t="s">
        <v>433</v>
      </c>
      <c r="C125" s="6" t="s">
        <v>434</v>
      </c>
      <c r="D125" s="6">
        <v>417</v>
      </c>
      <c r="E125" s="6">
        <v>996</v>
      </c>
    </row>
    <row r="126" spans="1:5" x14ac:dyDescent="0.35">
      <c r="A126" s="6" t="s">
        <v>435</v>
      </c>
      <c r="B126" s="6" t="s">
        <v>436</v>
      </c>
      <c r="C126" s="6" t="s">
        <v>437</v>
      </c>
      <c r="D126" s="6">
        <v>418</v>
      </c>
      <c r="E126" s="6">
        <v>856</v>
      </c>
    </row>
    <row r="127" spans="1:5" x14ac:dyDescent="0.35">
      <c r="A127" s="6" t="s">
        <v>438</v>
      </c>
      <c r="B127" s="6" t="s">
        <v>439</v>
      </c>
      <c r="C127" s="6" t="s">
        <v>440</v>
      </c>
      <c r="D127" s="6">
        <v>428</v>
      </c>
      <c r="E127" s="6">
        <v>371</v>
      </c>
    </row>
    <row r="128" spans="1:5" x14ac:dyDescent="0.35">
      <c r="A128" s="6" t="s">
        <v>441</v>
      </c>
      <c r="B128" s="6" t="s">
        <v>442</v>
      </c>
      <c r="C128" s="6" t="s">
        <v>443</v>
      </c>
      <c r="D128" s="6">
        <v>422</v>
      </c>
      <c r="E128" s="6">
        <v>961</v>
      </c>
    </row>
    <row r="129" spans="1:5" x14ac:dyDescent="0.35">
      <c r="A129" s="6" t="s">
        <v>444</v>
      </c>
      <c r="B129" s="6" t="s">
        <v>445</v>
      </c>
      <c r="C129" s="6" t="s">
        <v>446</v>
      </c>
      <c r="D129" s="6">
        <v>426</v>
      </c>
      <c r="E129" s="6">
        <v>266</v>
      </c>
    </row>
    <row r="130" spans="1:5" x14ac:dyDescent="0.35">
      <c r="A130" s="6" t="s">
        <v>447</v>
      </c>
      <c r="B130" s="6" t="s">
        <v>448</v>
      </c>
      <c r="C130" s="6" t="s">
        <v>449</v>
      </c>
      <c r="D130" s="6">
        <v>430</v>
      </c>
      <c r="E130" s="6">
        <v>231</v>
      </c>
    </row>
    <row r="131" spans="1:5" x14ac:dyDescent="0.35">
      <c r="A131" s="6" t="s">
        <v>450</v>
      </c>
      <c r="B131" s="6" t="s">
        <v>451</v>
      </c>
      <c r="C131" s="6" t="s">
        <v>452</v>
      </c>
      <c r="D131" s="6">
        <v>434</v>
      </c>
      <c r="E131" s="6">
        <v>218</v>
      </c>
    </row>
    <row r="132" spans="1:5" x14ac:dyDescent="0.35">
      <c r="A132" s="6" t="s">
        <v>453</v>
      </c>
      <c r="B132" s="6" t="s">
        <v>454</v>
      </c>
      <c r="C132" s="6" t="s">
        <v>455</v>
      </c>
      <c r="D132" s="6">
        <v>438</v>
      </c>
      <c r="E132" s="6">
        <v>423</v>
      </c>
    </row>
    <row r="133" spans="1:5" x14ac:dyDescent="0.35">
      <c r="A133" s="6" t="s">
        <v>456</v>
      </c>
      <c r="B133" s="6" t="s">
        <v>457</v>
      </c>
      <c r="C133" s="6" t="s">
        <v>458</v>
      </c>
      <c r="D133" s="6">
        <v>440</v>
      </c>
      <c r="E133" s="6">
        <v>370</v>
      </c>
    </row>
    <row r="134" spans="1:5" x14ac:dyDescent="0.35">
      <c r="A134" s="6" t="s">
        <v>459</v>
      </c>
      <c r="B134" s="6" t="s">
        <v>460</v>
      </c>
      <c r="C134" s="6" t="s">
        <v>461</v>
      </c>
      <c r="D134" s="6">
        <v>442</v>
      </c>
      <c r="E134" s="6">
        <v>352</v>
      </c>
    </row>
    <row r="135" spans="1:5" x14ac:dyDescent="0.35">
      <c r="A135" s="6" t="s">
        <v>462</v>
      </c>
      <c r="B135" s="6" t="s">
        <v>463</v>
      </c>
      <c r="C135" s="6" t="s">
        <v>464</v>
      </c>
      <c r="D135" s="6">
        <v>446</v>
      </c>
      <c r="E135" s="6">
        <v>853</v>
      </c>
    </row>
    <row r="136" spans="1:5" x14ac:dyDescent="0.35">
      <c r="A136" s="6" t="s">
        <v>465</v>
      </c>
      <c r="B136" s="6" t="s">
        <v>466</v>
      </c>
      <c r="C136" s="6" t="s">
        <v>467</v>
      </c>
      <c r="D136" s="6">
        <v>450</v>
      </c>
      <c r="E136" s="6">
        <v>261</v>
      </c>
    </row>
    <row r="137" spans="1:5" x14ac:dyDescent="0.35">
      <c r="A137" s="6" t="s">
        <v>468</v>
      </c>
      <c r="B137" s="6" t="s">
        <v>469</v>
      </c>
      <c r="C137" s="6" t="s">
        <v>470</v>
      </c>
      <c r="D137" s="6">
        <v>454</v>
      </c>
      <c r="E137" s="6">
        <v>265</v>
      </c>
    </row>
    <row r="138" spans="1:5" x14ac:dyDescent="0.35">
      <c r="A138" s="6" t="s">
        <v>471</v>
      </c>
      <c r="B138" s="6" t="s">
        <v>472</v>
      </c>
      <c r="C138" s="6" t="s">
        <v>473</v>
      </c>
      <c r="D138" s="6">
        <v>458</v>
      </c>
      <c r="E138" s="6">
        <v>60</v>
      </c>
    </row>
    <row r="139" spans="1:5" x14ac:dyDescent="0.35">
      <c r="A139" s="6" t="s">
        <v>474</v>
      </c>
      <c r="B139" s="6" t="s">
        <v>475</v>
      </c>
      <c r="C139" s="6" t="s">
        <v>476</v>
      </c>
      <c r="D139" s="6">
        <v>462</v>
      </c>
      <c r="E139" s="6">
        <v>960</v>
      </c>
    </row>
    <row r="140" spans="1:5" x14ac:dyDescent="0.35">
      <c r="A140" s="6" t="s">
        <v>477</v>
      </c>
      <c r="B140" s="6" t="s">
        <v>478</v>
      </c>
      <c r="C140" s="6" t="s">
        <v>479</v>
      </c>
      <c r="D140" s="6">
        <v>466</v>
      </c>
      <c r="E140" s="6">
        <v>223</v>
      </c>
    </row>
    <row r="141" spans="1:5" x14ac:dyDescent="0.35">
      <c r="A141" s="6" t="s">
        <v>480</v>
      </c>
      <c r="B141" s="6" t="s">
        <v>481</v>
      </c>
      <c r="C141" s="6" t="s">
        <v>482</v>
      </c>
      <c r="D141" s="6">
        <v>470</v>
      </c>
      <c r="E141" s="6">
        <v>356</v>
      </c>
    </row>
    <row r="142" spans="1:5" x14ac:dyDescent="0.35">
      <c r="A142" s="6" t="s">
        <v>483</v>
      </c>
      <c r="B142" s="6" t="s">
        <v>484</v>
      </c>
      <c r="C142" s="6" t="s">
        <v>485</v>
      </c>
      <c r="D142" s="6">
        <v>584</v>
      </c>
      <c r="E142" s="6">
        <v>692</v>
      </c>
    </row>
    <row r="143" spans="1:5" x14ac:dyDescent="0.35">
      <c r="A143" s="6" t="s">
        <v>486</v>
      </c>
      <c r="B143" s="6" t="s">
        <v>487</v>
      </c>
      <c r="C143" s="6" t="s">
        <v>488</v>
      </c>
      <c r="D143" s="6">
        <v>474</v>
      </c>
      <c r="E143" s="6">
        <v>596</v>
      </c>
    </row>
    <row r="144" spans="1:5" x14ac:dyDescent="0.35">
      <c r="A144" s="6" t="s">
        <v>489</v>
      </c>
      <c r="B144" s="6" t="s">
        <v>490</v>
      </c>
      <c r="C144" s="6" t="s">
        <v>491</v>
      </c>
      <c r="D144" s="6">
        <v>478</v>
      </c>
      <c r="E144" s="6">
        <v>222</v>
      </c>
    </row>
    <row r="145" spans="1:5" x14ac:dyDescent="0.35">
      <c r="A145" s="6" t="s">
        <v>492</v>
      </c>
      <c r="B145" s="6" t="s">
        <v>493</v>
      </c>
      <c r="C145" s="6" t="s">
        <v>494</v>
      </c>
      <c r="D145" s="6">
        <v>480</v>
      </c>
      <c r="E145" s="6">
        <v>230</v>
      </c>
    </row>
    <row r="146" spans="1:5" x14ac:dyDescent="0.35">
      <c r="A146" s="6" t="s">
        <v>495</v>
      </c>
      <c r="B146" s="6" t="s">
        <v>496</v>
      </c>
      <c r="C146" s="6" t="s">
        <v>497</v>
      </c>
      <c r="D146" s="6">
        <v>175</v>
      </c>
      <c r="E146" s="6">
        <v>262</v>
      </c>
    </row>
    <row r="147" spans="1:5" x14ac:dyDescent="0.35">
      <c r="A147" s="6" t="s">
        <v>498</v>
      </c>
      <c r="B147" s="6" t="s">
        <v>499</v>
      </c>
      <c r="C147" s="6" t="s">
        <v>500</v>
      </c>
      <c r="D147" s="6">
        <v>484</v>
      </c>
      <c r="E147" s="6">
        <v>52</v>
      </c>
    </row>
    <row r="148" spans="1:5" x14ac:dyDescent="0.35">
      <c r="A148" s="6" t="s">
        <v>501</v>
      </c>
      <c r="B148" s="6" t="s">
        <v>502</v>
      </c>
      <c r="C148" s="6" t="s">
        <v>503</v>
      </c>
      <c r="D148" s="6">
        <v>583</v>
      </c>
      <c r="E148" s="6">
        <v>691</v>
      </c>
    </row>
    <row r="149" spans="1:5" x14ac:dyDescent="0.35">
      <c r="A149" s="6" t="s">
        <v>504</v>
      </c>
      <c r="B149" s="6" t="s">
        <v>505</v>
      </c>
      <c r="C149" s="6" t="s">
        <v>506</v>
      </c>
      <c r="D149" s="6">
        <v>498</v>
      </c>
      <c r="E149" s="6">
        <v>373</v>
      </c>
    </row>
    <row r="150" spans="1:5" x14ac:dyDescent="0.35">
      <c r="A150" s="6" t="s">
        <v>507</v>
      </c>
      <c r="B150" s="6" t="s">
        <v>508</v>
      </c>
      <c r="C150" s="6" t="s">
        <v>509</v>
      </c>
      <c r="D150" s="6">
        <v>492</v>
      </c>
      <c r="E150" s="6">
        <v>377</v>
      </c>
    </row>
    <row r="151" spans="1:5" x14ac:dyDescent="0.35">
      <c r="A151" s="6" t="s">
        <v>510</v>
      </c>
      <c r="B151" s="6" t="s">
        <v>511</v>
      </c>
      <c r="C151" s="6" t="s">
        <v>512</v>
      </c>
      <c r="D151" s="6">
        <v>496</v>
      </c>
      <c r="E151" s="6">
        <v>976</v>
      </c>
    </row>
    <row r="152" spans="1:5" x14ac:dyDescent="0.35">
      <c r="A152" s="6" t="s">
        <v>513</v>
      </c>
      <c r="B152" s="6" t="s">
        <v>514</v>
      </c>
      <c r="C152" s="6" t="s">
        <v>515</v>
      </c>
      <c r="D152" s="6">
        <v>499</v>
      </c>
      <c r="E152" s="6">
        <v>382</v>
      </c>
    </row>
    <row r="153" spans="1:5" x14ac:dyDescent="0.35">
      <c r="A153" s="6" t="s">
        <v>516</v>
      </c>
      <c r="B153" s="6" t="s">
        <v>517</v>
      </c>
      <c r="C153" s="6" t="s">
        <v>518</v>
      </c>
      <c r="D153" s="6">
        <v>500</v>
      </c>
      <c r="E153" s="6">
        <v>1664</v>
      </c>
    </row>
    <row r="154" spans="1:5" x14ac:dyDescent="0.35">
      <c r="A154" s="6" t="s">
        <v>519</v>
      </c>
      <c r="B154" s="6" t="s">
        <v>520</v>
      </c>
      <c r="C154" s="6" t="s">
        <v>521</v>
      </c>
      <c r="D154" s="6">
        <v>504</v>
      </c>
      <c r="E154" s="6">
        <v>212</v>
      </c>
    </row>
    <row r="155" spans="1:5" x14ac:dyDescent="0.35">
      <c r="A155" s="6" t="s">
        <v>522</v>
      </c>
      <c r="B155" s="6" t="s">
        <v>523</v>
      </c>
      <c r="C155" s="6" t="s">
        <v>524</v>
      </c>
      <c r="D155" s="6">
        <v>508</v>
      </c>
      <c r="E155" s="6">
        <v>258</v>
      </c>
    </row>
    <row r="156" spans="1:5" x14ac:dyDescent="0.35">
      <c r="A156" s="6" t="s">
        <v>525</v>
      </c>
      <c r="B156" s="6" t="s">
        <v>526</v>
      </c>
      <c r="C156" s="6" t="s">
        <v>527</v>
      </c>
      <c r="D156" s="6">
        <v>104</v>
      </c>
      <c r="E156" s="6">
        <v>95</v>
      </c>
    </row>
    <row r="157" spans="1:5" x14ac:dyDescent="0.35">
      <c r="A157" s="6" t="s">
        <v>528</v>
      </c>
      <c r="B157" s="6" t="s">
        <v>529</v>
      </c>
      <c r="C157" s="6" t="s">
        <v>530</v>
      </c>
      <c r="D157" s="6">
        <v>516</v>
      </c>
      <c r="E157" s="6">
        <v>264</v>
      </c>
    </row>
    <row r="158" spans="1:5" x14ac:dyDescent="0.35">
      <c r="A158" s="6" t="s">
        <v>531</v>
      </c>
      <c r="B158" s="6" t="s">
        <v>532</v>
      </c>
      <c r="C158" s="6" t="s">
        <v>533</v>
      </c>
      <c r="D158" s="6">
        <v>520</v>
      </c>
      <c r="E158" s="6">
        <v>674</v>
      </c>
    </row>
    <row r="159" spans="1:5" x14ac:dyDescent="0.35">
      <c r="A159" s="6" t="s">
        <v>534</v>
      </c>
      <c r="B159" s="6" t="s">
        <v>535</v>
      </c>
      <c r="C159" s="6" t="s">
        <v>536</v>
      </c>
      <c r="D159" s="6">
        <v>524</v>
      </c>
      <c r="E159" s="6">
        <v>977</v>
      </c>
    </row>
    <row r="160" spans="1:5" x14ac:dyDescent="0.35">
      <c r="A160" s="6" t="s">
        <v>537</v>
      </c>
      <c r="B160" s="6" t="s">
        <v>538</v>
      </c>
      <c r="C160" s="6" t="s">
        <v>539</v>
      </c>
      <c r="D160" s="6">
        <v>528</v>
      </c>
      <c r="E160" s="6">
        <v>31</v>
      </c>
    </row>
    <row r="161" spans="1:5" x14ac:dyDescent="0.35">
      <c r="A161" s="6" t="s">
        <v>540</v>
      </c>
      <c r="B161" s="6" t="s">
        <v>541</v>
      </c>
      <c r="C161" s="6" t="s">
        <v>542</v>
      </c>
      <c r="D161" s="6">
        <v>540</v>
      </c>
      <c r="E161" s="6">
        <v>687</v>
      </c>
    </row>
    <row r="162" spans="1:5" x14ac:dyDescent="0.35">
      <c r="A162" s="6" t="s">
        <v>543</v>
      </c>
      <c r="B162" s="6" t="s">
        <v>544</v>
      </c>
      <c r="C162" s="6" t="s">
        <v>545</v>
      </c>
      <c r="D162" s="6">
        <v>554</v>
      </c>
      <c r="E162" s="6">
        <v>64</v>
      </c>
    </row>
    <row r="163" spans="1:5" x14ac:dyDescent="0.35">
      <c r="A163" s="6" t="s">
        <v>546</v>
      </c>
      <c r="B163" s="6" t="s">
        <v>547</v>
      </c>
      <c r="C163" s="6" t="s">
        <v>548</v>
      </c>
      <c r="D163" s="6">
        <v>558</v>
      </c>
      <c r="E163" s="6">
        <v>505</v>
      </c>
    </row>
    <row r="164" spans="1:5" x14ac:dyDescent="0.35">
      <c r="A164" s="6" t="s">
        <v>549</v>
      </c>
      <c r="B164" s="6" t="s">
        <v>550</v>
      </c>
      <c r="C164" s="6" t="s">
        <v>551</v>
      </c>
      <c r="D164" s="6">
        <v>562</v>
      </c>
      <c r="E164" s="6">
        <v>227</v>
      </c>
    </row>
    <row r="165" spans="1:5" x14ac:dyDescent="0.35">
      <c r="A165" s="6" t="s">
        <v>552</v>
      </c>
      <c r="B165" s="6" t="s">
        <v>553</v>
      </c>
      <c r="C165" s="6" t="s">
        <v>554</v>
      </c>
      <c r="D165" s="6">
        <v>566</v>
      </c>
      <c r="E165" s="6">
        <v>234</v>
      </c>
    </row>
    <row r="166" spans="1:5" x14ac:dyDescent="0.35">
      <c r="A166" s="6" t="s">
        <v>555</v>
      </c>
      <c r="B166" s="6" t="s">
        <v>556</v>
      </c>
      <c r="C166" s="6" t="s">
        <v>557</v>
      </c>
      <c r="D166" s="6">
        <v>570</v>
      </c>
      <c r="E166" s="6">
        <v>683</v>
      </c>
    </row>
    <row r="167" spans="1:5" x14ac:dyDescent="0.35">
      <c r="A167" s="6" t="s">
        <v>558</v>
      </c>
      <c r="B167" s="6" t="s">
        <v>559</v>
      </c>
      <c r="C167" s="6" t="s">
        <v>560</v>
      </c>
      <c r="D167" s="6">
        <v>574</v>
      </c>
      <c r="E167" s="6">
        <v>672</v>
      </c>
    </row>
    <row r="168" spans="1:5" x14ac:dyDescent="0.35">
      <c r="A168" s="6" t="s">
        <v>561</v>
      </c>
      <c r="B168" s="6" t="s">
        <v>562</v>
      </c>
      <c r="C168" s="6" t="s">
        <v>563</v>
      </c>
      <c r="D168" s="6">
        <v>807</v>
      </c>
      <c r="E168" s="6">
        <v>389</v>
      </c>
    </row>
    <row r="169" spans="1:5" x14ac:dyDescent="0.35">
      <c r="A169" s="6" t="s">
        <v>564</v>
      </c>
      <c r="B169" s="6" t="s">
        <v>565</v>
      </c>
      <c r="C169" s="6" t="s">
        <v>566</v>
      </c>
      <c r="D169" s="6">
        <v>580</v>
      </c>
      <c r="E169" s="6">
        <v>1670</v>
      </c>
    </row>
    <row r="170" spans="1:5" x14ac:dyDescent="0.35">
      <c r="A170" s="6" t="s">
        <v>567</v>
      </c>
      <c r="B170" s="6" t="s">
        <v>568</v>
      </c>
      <c r="C170" s="6" t="s">
        <v>569</v>
      </c>
      <c r="D170" s="6">
        <v>578</v>
      </c>
      <c r="E170" s="6">
        <v>47</v>
      </c>
    </row>
    <row r="171" spans="1:5" x14ac:dyDescent="0.35">
      <c r="A171" s="6" t="s">
        <v>570</v>
      </c>
      <c r="B171" s="6" t="s">
        <v>571</v>
      </c>
      <c r="C171" s="6" t="s">
        <v>572</v>
      </c>
      <c r="D171" s="6">
        <v>512</v>
      </c>
      <c r="E171" s="6">
        <v>968</v>
      </c>
    </row>
    <row r="172" spans="1:5" x14ac:dyDescent="0.35">
      <c r="A172" s="6" t="s">
        <v>573</v>
      </c>
      <c r="B172" s="6" t="s">
        <v>574</v>
      </c>
      <c r="C172" s="6" t="s">
        <v>575</v>
      </c>
      <c r="D172" s="6">
        <v>586</v>
      </c>
      <c r="E172" s="6">
        <v>92</v>
      </c>
    </row>
    <row r="173" spans="1:5" x14ac:dyDescent="0.35">
      <c r="A173" s="6" t="s">
        <v>576</v>
      </c>
      <c r="B173" s="6" t="s">
        <v>577</v>
      </c>
      <c r="C173" s="6" t="s">
        <v>578</v>
      </c>
      <c r="D173" s="6">
        <v>585</v>
      </c>
      <c r="E173" s="6">
        <v>680</v>
      </c>
    </row>
    <row r="174" spans="1:5" x14ac:dyDescent="0.35">
      <c r="A174" s="6" t="s">
        <v>579</v>
      </c>
      <c r="B174" s="6" t="s">
        <v>580</v>
      </c>
      <c r="C174" s="6" t="s">
        <v>581</v>
      </c>
      <c r="D174" s="6">
        <v>275</v>
      </c>
      <c r="E174" s="6">
        <v>970</v>
      </c>
    </row>
    <row r="175" spans="1:5" x14ac:dyDescent="0.35">
      <c r="A175" s="6" t="s">
        <v>582</v>
      </c>
      <c r="B175" s="6" t="s">
        <v>583</v>
      </c>
      <c r="C175" s="6" t="s">
        <v>584</v>
      </c>
      <c r="D175" s="6">
        <v>591</v>
      </c>
      <c r="E175" s="6">
        <v>507</v>
      </c>
    </row>
    <row r="176" spans="1:5" x14ac:dyDescent="0.35">
      <c r="A176" s="6" t="s">
        <v>585</v>
      </c>
      <c r="B176" s="6" t="s">
        <v>586</v>
      </c>
      <c r="C176" s="6" t="s">
        <v>587</v>
      </c>
      <c r="D176" s="6">
        <v>598</v>
      </c>
      <c r="E176" s="6">
        <v>675</v>
      </c>
    </row>
    <row r="177" spans="1:5" x14ac:dyDescent="0.35">
      <c r="A177" s="6" t="s">
        <v>588</v>
      </c>
      <c r="B177" s="6" t="s">
        <v>589</v>
      </c>
      <c r="C177" s="6" t="s">
        <v>590</v>
      </c>
      <c r="D177" s="6">
        <v>600</v>
      </c>
      <c r="E177" s="6">
        <v>595</v>
      </c>
    </row>
    <row r="178" spans="1:5" x14ac:dyDescent="0.35">
      <c r="A178" s="6" t="s">
        <v>591</v>
      </c>
      <c r="B178" s="6" t="s">
        <v>592</v>
      </c>
      <c r="C178" s="6" t="s">
        <v>593</v>
      </c>
      <c r="D178" s="6">
        <v>604</v>
      </c>
      <c r="E178" s="6">
        <v>51</v>
      </c>
    </row>
    <row r="179" spans="1:5" x14ac:dyDescent="0.35">
      <c r="A179" s="6" t="s">
        <v>594</v>
      </c>
      <c r="B179" s="6" t="s">
        <v>595</v>
      </c>
      <c r="C179" s="6" t="s">
        <v>596</v>
      </c>
      <c r="D179" s="6">
        <v>608</v>
      </c>
      <c r="E179" s="6">
        <v>63</v>
      </c>
    </row>
    <row r="180" spans="1:5" x14ac:dyDescent="0.35">
      <c r="A180" s="6" t="s">
        <v>597</v>
      </c>
      <c r="B180" s="6" t="s">
        <v>598</v>
      </c>
      <c r="C180" s="6" t="s">
        <v>599</v>
      </c>
      <c r="D180" s="6">
        <v>612</v>
      </c>
      <c r="E180" s="6">
        <v>64</v>
      </c>
    </row>
    <row r="181" spans="1:5" x14ac:dyDescent="0.35">
      <c r="A181" s="6" t="s">
        <v>600</v>
      </c>
      <c r="B181" s="6" t="s">
        <v>601</v>
      </c>
      <c r="C181" s="6" t="s">
        <v>602</v>
      </c>
      <c r="D181" s="6">
        <v>616</v>
      </c>
      <c r="E181" s="6">
        <v>48</v>
      </c>
    </row>
    <row r="182" spans="1:5" x14ac:dyDescent="0.35">
      <c r="A182" s="6" t="s">
        <v>603</v>
      </c>
      <c r="B182" s="6" t="s">
        <v>604</v>
      </c>
      <c r="C182" s="6" t="s">
        <v>605</v>
      </c>
      <c r="D182" s="6">
        <v>620</v>
      </c>
      <c r="E182" s="6">
        <v>351</v>
      </c>
    </row>
    <row r="183" spans="1:5" x14ac:dyDescent="0.35">
      <c r="A183" s="6" t="s">
        <v>606</v>
      </c>
      <c r="B183" s="6" t="s">
        <v>607</v>
      </c>
      <c r="C183" s="6" t="s">
        <v>608</v>
      </c>
      <c r="D183" s="6">
        <v>630</v>
      </c>
      <c r="E183" s="6">
        <v>1</v>
      </c>
    </row>
    <row r="184" spans="1:5" x14ac:dyDescent="0.35">
      <c r="A184" s="6" t="s">
        <v>609</v>
      </c>
      <c r="B184" s="6" t="s">
        <v>610</v>
      </c>
      <c r="C184" s="6" t="s">
        <v>611</v>
      </c>
      <c r="D184" s="6">
        <v>634</v>
      </c>
      <c r="E184" s="6">
        <v>974</v>
      </c>
    </row>
    <row r="185" spans="1:5" x14ac:dyDescent="0.35">
      <c r="A185" s="6" t="s">
        <v>612</v>
      </c>
      <c r="B185" s="6" t="s">
        <v>613</v>
      </c>
      <c r="C185" s="6" t="s">
        <v>614</v>
      </c>
      <c r="D185" s="6">
        <v>638</v>
      </c>
      <c r="E185" s="6">
        <v>262</v>
      </c>
    </row>
    <row r="186" spans="1:5" x14ac:dyDescent="0.35">
      <c r="A186" s="6" t="s">
        <v>615</v>
      </c>
      <c r="B186" s="6" t="s">
        <v>616</v>
      </c>
      <c r="C186" s="6" t="s">
        <v>617</v>
      </c>
      <c r="D186" s="6">
        <v>642</v>
      </c>
      <c r="E186" s="6">
        <v>40</v>
      </c>
    </row>
    <row r="187" spans="1:5" x14ac:dyDescent="0.35">
      <c r="A187" s="6" t="s">
        <v>618</v>
      </c>
      <c r="B187" s="6" t="s">
        <v>619</v>
      </c>
      <c r="C187" s="6" t="s">
        <v>620</v>
      </c>
      <c r="D187" s="6">
        <v>643</v>
      </c>
      <c r="E187" s="6">
        <v>7</v>
      </c>
    </row>
    <row r="188" spans="1:5" x14ac:dyDescent="0.35">
      <c r="A188" s="6" t="s">
        <v>621</v>
      </c>
      <c r="B188" s="6" t="s">
        <v>622</v>
      </c>
      <c r="C188" s="6" t="s">
        <v>623</v>
      </c>
      <c r="D188" s="6">
        <v>646</v>
      </c>
      <c r="E188" s="6">
        <v>250</v>
      </c>
    </row>
    <row r="189" spans="1:5" x14ac:dyDescent="0.35">
      <c r="A189" s="6" t="s">
        <v>624</v>
      </c>
      <c r="B189" s="6" t="s">
        <v>625</v>
      </c>
      <c r="C189" s="6" t="s">
        <v>626</v>
      </c>
      <c r="D189" s="6">
        <v>652</v>
      </c>
      <c r="E189" s="6">
        <v>590</v>
      </c>
    </row>
    <row r="190" spans="1:5" x14ac:dyDescent="0.35">
      <c r="A190" s="6" t="s">
        <v>627</v>
      </c>
      <c r="B190" s="6" t="s">
        <v>628</v>
      </c>
      <c r="C190" s="6" t="s">
        <v>629</v>
      </c>
      <c r="D190" s="6">
        <v>654</v>
      </c>
      <c r="E190" s="6">
        <v>290</v>
      </c>
    </row>
    <row r="191" spans="1:5" x14ac:dyDescent="0.35">
      <c r="A191" s="6" t="s">
        <v>630</v>
      </c>
      <c r="B191" s="6" t="s">
        <v>631</v>
      </c>
      <c r="C191" s="6" t="s">
        <v>632</v>
      </c>
      <c r="D191" s="6">
        <v>659</v>
      </c>
      <c r="E191" s="6">
        <v>1869</v>
      </c>
    </row>
    <row r="192" spans="1:5" x14ac:dyDescent="0.35">
      <c r="A192" s="6" t="s">
        <v>633</v>
      </c>
      <c r="B192" s="6" t="s">
        <v>634</v>
      </c>
      <c r="C192" s="6" t="s">
        <v>635</v>
      </c>
      <c r="D192" s="6">
        <v>662</v>
      </c>
      <c r="E192" s="6">
        <v>1758</v>
      </c>
    </row>
    <row r="193" spans="1:5" x14ac:dyDescent="0.35">
      <c r="A193" s="6" t="s">
        <v>636</v>
      </c>
      <c r="B193" s="6" t="s">
        <v>637</v>
      </c>
      <c r="C193" s="6" t="s">
        <v>638</v>
      </c>
      <c r="D193" s="6">
        <v>663</v>
      </c>
      <c r="E193" s="6">
        <v>590</v>
      </c>
    </row>
    <row r="194" spans="1:5" x14ac:dyDescent="0.35">
      <c r="A194" s="6" t="s">
        <v>639</v>
      </c>
      <c r="B194" s="6" t="s">
        <v>640</v>
      </c>
      <c r="C194" s="6" t="s">
        <v>641</v>
      </c>
      <c r="D194" s="6">
        <v>666</v>
      </c>
      <c r="E194" s="6">
        <v>508</v>
      </c>
    </row>
    <row r="195" spans="1:5" x14ac:dyDescent="0.35">
      <c r="A195" s="6" t="s">
        <v>642</v>
      </c>
      <c r="B195" s="6" t="s">
        <v>643</v>
      </c>
      <c r="C195" s="6" t="s">
        <v>644</v>
      </c>
      <c r="D195" s="6">
        <v>670</v>
      </c>
      <c r="E195" s="6">
        <v>1784</v>
      </c>
    </row>
    <row r="196" spans="1:5" x14ac:dyDescent="0.35">
      <c r="A196" s="6" t="s">
        <v>645</v>
      </c>
      <c r="B196" s="6" t="s">
        <v>646</v>
      </c>
      <c r="C196" s="6" t="s">
        <v>647</v>
      </c>
      <c r="D196" s="6">
        <v>882</v>
      </c>
      <c r="E196" s="6">
        <v>685</v>
      </c>
    </row>
    <row r="197" spans="1:5" x14ac:dyDescent="0.35">
      <c r="A197" s="6" t="s">
        <v>648</v>
      </c>
      <c r="B197" s="6" t="s">
        <v>649</v>
      </c>
      <c r="C197" s="6" t="s">
        <v>650</v>
      </c>
      <c r="D197" s="6">
        <v>674</v>
      </c>
      <c r="E197" s="6">
        <v>378</v>
      </c>
    </row>
    <row r="198" spans="1:5" x14ac:dyDescent="0.35">
      <c r="A198" s="6" t="s">
        <v>651</v>
      </c>
      <c r="B198" s="6" t="s">
        <v>652</v>
      </c>
      <c r="C198" s="6" t="s">
        <v>653</v>
      </c>
      <c r="D198" s="6">
        <v>678</v>
      </c>
      <c r="E198" s="6">
        <v>239</v>
      </c>
    </row>
    <row r="199" spans="1:5" x14ac:dyDescent="0.35">
      <c r="A199" s="6" t="s">
        <v>654</v>
      </c>
      <c r="B199" s="6" t="s">
        <v>655</v>
      </c>
      <c r="C199" s="6" t="s">
        <v>656</v>
      </c>
      <c r="D199" s="6">
        <v>682</v>
      </c>
      <c r="E199" s="6">
        <v>966</v>
      </c>
    </row>
    <row r="200" spans="1:5" x14ac:dyDescent="0.35">
      <c r="A200" s="6" t="s">
        <v>657</v>
      </c>
      <c r="B200" s="6" t="s">
        <v>658</v>
      </c>
      <c r="C200" s="6" t="s">
        <v>659</v>
      </c>
      <c r="D200" s="6">
        <v>686</v>
      </c>
      <c r="E200" s="6">
        <v>221</v>
      </c>
    </row>
    <row r="201" spans="1:5" x14ac:dyDescent="0.35">
      <c r="A201" s="6" t="s">
        <v>660</v>
      </c>
      <c r="B201" s="6" t="s">
        <v>661</v>
      </c>
      <c r="C201" s="6" t="s">
        <v>662</v>
      </c>
      <c r="D201" s="6">
        <v>688</v>
      </c>
      <c r="E201" s="6">
        <v>381</v>
      </c>
    </row>
    <row r="202" spans="1:5" x14ac:dyDescent="0.35">
      <c r="A202" s="6" t="s">
        <v>663</v>
      </c>
      <c r="B202" s="6" t="s">
        <v>664</v>
      </c>
      <c r="C202" s="6" t="s">
        <v>665</v>
      </c>
      <c r="D202" s="6">
        <v>690</v>
      </c>
      <c r="E202" s="6">
        <v>248</v>
      </c>
    </row>
    <row r="203" spans="1:5" x14ac:dyDescent="0.35">
      <c r="A203" s="6" t="s">
        <v>666</v>
      </c>
      <c r="B203" s="6" t="s">
        <v>667</v>
      </c>
      <c r="C203" s="6" t="s">
        <v>668</v>
      </c>
      <c r="D203" s="6">
        <v>694</v>
      </c>
      <c r="E203" s="6">
        <v>232</v>
      </c>
    </row>
    <row r="204" spans="1:5" x14ac:dyDescent="0.35">
      <c r="A204" s="6" t="s">
        <v>669</v>
      </c>
      <c r="B204" s="6" t="s">
        <v>670</v>
      </c>
      <c r="C204" s="6" t="s">
        <v>671</v>
      </c>
      <c r="D204" s="6">
        <v>702</v>
      </c>
      <c r="E204" s="6">
        <v>65</v>
      </c>
    </row>
    <row r="205" spans="1:5" x14ac:dyDescent="0.35">
      <c r="A205" s="6" t="s">
        <v>672</v>
      </c>
      <c r="B205" s="6" t="s">
        <v>673</v>
      </c>
      <c r="C205" s="6" t="s">
        <v>674</v>
      </c>
      <c r="D205" s="6">
        <v>534</v>
      </c>
      <c r="E205" s="6">
        <v>1721</v>
      </c>
    </row>
    <row r="206" spans="1:5" x14ac:dyDescent="0.35">
      <c r="A206" s="6" t="s">
        <v>675</v>
      </c>
      <c r="B206" s="6" t="s">
        <v>676</v>
      </c>
      <c r="C206" s="6" t="s">
        <v>677</v>
      </c>
      <c r="D206" s="6">
        <v>703</v>
      </c>
      <c r="E206" s="6">
        <v>421</v>
      </c>
    </row>
    <row r="207" spans="1:5" x14ac:dyDescent="0.35">
      <c r="A207" s="6" t="s">
        <v>678</v>
      </c>
      <c r="B207" s="6" t="s">
        <v>679</v>
      </c>
      <c r="C207" s="6" t="s">
        <v>680</v>
      </c>
      <c r="D207" s="6">
        <v>705</v>
      </c>
      <c r="E207" s="6">
        <v>386</v>
      </c>
    </row>
    <row r="208" spans="1:5" x14ac:dyDescent="0.35">
      <c r="A208" s="6" t="s">
        <v>681</v>
      </c>
      <c r="B208" s="6" t="s">
        <v>682</v>
      </c>
      <c r="C208" s="6" t="s">
        <v>683</v>
      </c>
      <c r="D208" s="6">
        <v>90</v>
      </c>
      <c r="E208" s="6">
        <v>677</v>
      </c>
    </row>
    <row r="209" spans="1:5" x14ac:dyDescent="0.35">
      <c r="A209" s="6" t="s">
        <v>684</v>
      </c>
      <c r="B209" s="6" t="s">
        <v>685</v>
      </c>
      <c r="C209" s="6" t="s">
        <v>686</v>
      </c>
      <c r="D209" s="6">
        <v>706</v>
      </c>
      <c r="E209" s="6">
        <v>252</v>
      </c>
    </row>
    <row r="210" spans="1:5" x14ac:dyDescent="0.35">
      <c r="A210" s="6" t="s">
        <v>687</v>
      </c>
      <c r="B210" s="6" t="s">
        <v>688</v>
      </c>
      <c r="C210" s="6" t="s">
        <v>689</v>
      </c>
      <c r="D210" s="6">
        <v>710</v>
      </c>
      <c r="E210" s="6">
        <v>27</v>
      </c>
    </row>
    <row r="211" spans="1:5" x14ac:dyDescent="0.35">
      <c r="A211" s="6" t="s">
        <v>690</v>
      </c>
      <c r="B211" s="6" t="s">
        <v>691</v>
      </c>
      <c r="C211" s="6" t="s">
        <v>692</v>
      </c>
      <c r="D211" s="6">
        <v>239</v>
      </c>
      <c r="E211" s="6">
        <v>500</v>
      </c>
    </row>
    <row r="212" spans="1:5" x14ac:dyDescent="0.35">
      <c r="A212" s="6" t="s">
        <v>693</v>
      </c>
      <c r="B212" s="6" t="s">
        <v>694</v>
      </c>
      <c r="C212" s="6" t="s">
        <v>695</v>
      </c>
      <c r="D212" s="6">
        <v>728</v>
      </c>
      <c r="E212" s="6">
        <v>211</v>
      </c>
    </row>
    <row r="213" spans="1:5" x14ac:dyDescent="0.35">
      <c r="A213" s="6" t="s">
        <v>696</v>
      </c>
      <c r="B213" s="6" t="s">
        <v>697</v>
      </c>
      <c r="C213" s="6" t="s">
        <v>698</v>
      </c>
      <c r="D213" s="6">
        <v>724</v>
      </c>
      <c r="E213" s="6">
        <v>34</v>
      </c>
    </row>
    <row r="214" spans="1:5" x14ac:dyDescent="0.35">
      <c r="A214" s="6" t="s">
        <v>699</v>
      </c>
      <c r="B214" s="6" t="s">
        <v>700</v>
      </c>
      <c r="C214" s="6" t="s">
        <v>701</v>
      </c>
      <c r="D214" s="6">
        <v>144</v>
      </c>
      <c r="E214" s="6">
        <v>94</v>
      </c>
    </row>
    <row r="215" spans="1:5" x14ac:dyDescent="0.35">
      <c r="A215" s="6" t="s">
        <v>702</v>
      </c>
      <c r="B215" s="6" t="s">
        <v>703</v>
      </c>
      <c r="C215" s="6" t="s">
        <v>704</v>
      </c>
      <c r="D215" s="6">
        <v>729</v>
      </c>
      <c r="E215" s="6">
        <v>249</v>
      </c>
    </row>
    <row r="216" spans="1:5" x14ac:dyDescent="0.35">
      <c r="A216" s="6" t="s">
        <v>705</v>
      </c>
      <c r="B216" s="6" t="s">
        <v>706</v>
      </c>
      <c r="C216" s="6" t="s">
        <v>707</v>
      </c>
      <c r="D216" s="6">
        <v>740</v>
      </c>
      <c r="E216" s="6">
        <v>597</v>
      </c>
    </row>
    <row r="217" spans="1:5" x14ac:dyDescent="0.35">
      <c r="A217" s="6" t="s">
        <v>708</v>
      </c>
      <c r="B217" s="6" t="s">
        <v>709</v>
      </c>
      <c r="C217" s="6" t="s">
        <v>710</v>
      </c>
      <c r="D217" s="6">
        <v>744</v>
      </c>
      <c r="E217" s="6">
        <v>47</v>
      </c>
    </row>
    <row r="218" spans="1:5" x14ac:dyDescent="0.35">
      <c r="A218" s="6" t="s">
        <v>711</v>
      </c>
      <c r="B218" s="6" t="s">
        <v>712</v>
      </c>
      <c r="C218" s="6" t="s">
        <v>713</v>
      </c>
      <c r="D218" s="6">
        <v>752</v>
      </c>
      <c r="E218" s="6">
        <v>46</v>
      </c>
    </row>
    <row r="219" spans="1:5" x14ac:dyDescent="0.35">
      <c r="A219" s="6" t="s">
        <v>714</v>
      </c>
      <c r="B219" s="6" t="s">
        <v>715</v>
      </c>
      <c r="C219" s="6" t="s">
        <v>716</v>
      </c>
      <c r="D219" s="6">
        <v>756</v>
      </c>
      <c r="E219" s="6">
        <v>41</v>
      </c>
    </row>
    <row r="220" spans="1:5" x14ac:dyDescent="0.35">
      <c r="A220" s="6" t="s">
        <v>717</v>
      </c>
      <c r="B220" s="6" t="s">
        <v>718</v>
      </c>
      <c r="C220" s="6" t="s">
        <v>719</v>
      </c>
      <c r="D220" s="6">
        <v>760</v>
      </c>
      <c r="E220" s="6">
        <v>963</v>
      </c>
    </row>
    <row r="221" spans="1:5" x14ac:dyDescent="0.35">
      <c r="A221" s="6" t="s">
        <v>720</v>
      </c>
      <c r="B221" s="6" t="s">
        <v>721</v>
      </c>
      <c r="C221" s="6" t="s">
        <v>722</v>
      </c>
      <c r="D221" s="6">
        <v>158</v>
      </c>
      <c r="E221" s="6">
        <v>886</v>
      </c>
    </row>
    <row r="222" spans="1:5" x14ac:dyDescent="0.35">
      <c r="A222" s="6" t="s">
        <v>723</v>
      </c>
      <c r="B222" s="6" t="s">
        <v>724</v>
      </c>
      <c r="C222" s="6" t="s">
        <v>725</v>
      </c>
      <c r="D222" s="6">
        <v>762</v>
      </c>
      <c r="E222" s="6">
        <v>992</v>
      </c>
    </row>
    <row r="223" spans="1:5" x14ac:dyDescent="0.35">
      <c r="A223" s="6" t="s">
        <v>726</v>
      </c>
      <c r="B223" s="6" t="s">
        <v>727</v>
      </c>
      <c r="C223" s="6" t="s">
        <v>728</v>
      </c>
      <c r="D223" s="6">
        <v>834</v>
      </c>
      <c r="E223" s="6">
        <v>255</v>
      </c>
    </row>
    <row r="224" spans="1:5" x14ac:dyDescent="0.35">
      <c r="A224" s="6" t="s">
        <v>729</v>
      </c>
      <c r="B224" s="6" t="s">
        <v>730</v>
      </c>
      <c r="C224" s="6" t="s">
        <v>731</v>
      </c>
      <c r="D224" s="6">
        <v>764</v>
      </c>
      <c r="E224" s="6">
        <v>66</v>
      </c>
    </row>
    <row r="225" spans="1:5" x14ac:dyDescent="0.35">
      <c r="A225" s="6" t="s">
        <v>732</v>
      </c>
      <c r="B225" s="6" t="s">
        <v>733</v>
      </c>
      <c r="C225" s="6" t="s">
        <v>734</v>
      </c>
      <c r="D225" s="6">
        <v>626</v>
      </c>
      <c r="E225" s="6">
        <v>670</v>
      </c>
    </row>
    <row r="226" spans="1:5" x14ac:dyDescent="0.35">
      <c r="A226" s="6" t="s">
        <v>735</v>
      </c>
      <c r="B226" s="6" t="s">
        <v>736</v>
      </c>
      <c r="C226" s="6" t="s">
        <v>737</v>
      </c>
      <c r="D226" s="6">
        <v>768</v>
      </c>
      <c r="E226" s="6">
        <v>228</v>
      </c>
    </row>
    <row r="227" spans="1:5" x14ac:dyDescent="0.35">
      <c r="A227" s="6" t="s">
        <v>738</v>
      </c>
      <c r="B227" s="6" t="s">
        <v>739</v>
      </c>
      <c r="C227" s="6" t="s">
        <v>740</v>
      </c>
      <c r="D227" s="6">
        <v>772</v>
      </c>
      <c r="E227" s="6">
        <v>690</v>
      </c>
    </row>
    <row r="228" spans="1:5" x14ac:dyDescent="0.35">
      <c r="A228" s="6" t="s">
        <v>741</v>
      </c>
      <c r="B228" s="6" t="s">
        <v>742</v>
      </c>
      <c r="C228" s="6" t="s">
        <v>743</v>
      </c>
      <c r="D228" s="6">
        <v>776</v>
      </c>
      <c r="E228" s="6">
        <v>676</v>
      </c>
    </row>
    <row r="229" spans="1:5" x14ac:dyDescent="0.35">
      <c r="A229" s="6" t="s">
        <v>744</v>
      </c>
      <c r="B229" s="6" t="s">
        <v>745</v>
      </c>
      <c r="C229" s="6" t="s">
        <v>746</v>
      </c>
      <c r="D229" s="6">
        <v>780</v>
      </c>
      <c r="E229" s="6">
        <v>1868</v>
      </c>
    </row>
    <row r="230" spans="1:5" x14ac:dyDescent="0.35">
      <c r="A230" s="6" t="s">
        <v>747</v>
      </c>
      <c r="B230" s="6" t="s">
        <v>748</v>
      </c>
      <c r="C230" s="6" t="s">
        <v>749</v>
      </c>
      <c r="D230" s="6">
        <v>788</v>
      </c>
      <c r="E230" s="6">
        <v>216</v>
      </c>
    </row>
    <row r="231" spans="1:5" x14ac:dyDescent="0.35">
      <c r="A231" s="6" t="s">
        <v>750</v>
      </c>
      <c r="B231" s="6" t="s">
        <v>751</v>
      </c>
      <c r="C231" s="6" t="s">
        <v>752</v>
      </c>
      <c r="D231" s="6">
        <v>792</v>
      </c>
      <c r="E231" s="6">
        <v>90</v>
      </c>
    </row>
    <row r="232" spans="1:5" x14ac:dyDescent="0.35">
      <c r="A232" s="6" t="s">
        <v>753</v>
      </c>
      <c r="B232" s="6" t="s">
        <v>754</v>
      </c>
      <c r="C232" s="6" t="s">
        <v>755</v>
      </c>
      <c r="D232" s="6">
        <v>795</v>
      </c>
      <c r="E232" s="6">
        <v>993</v>
      </c>
    </row>
    <row r="233" spans="1:5" x14ac:dyDescent="0.35">
      <c r="A233" s="6" t="s">
        <v>756</v>
      </c>
      <c r="B233" s="6" t="s">
        <v>757</v>
      </c>
      <c r="C233" s="6" t="s">
        <v>758</v>
      </c>
      <c r="D233" s="6">
        <v>796</v>
      </c>
      <c r="E233" s="6">
        <v>1649</v>
      </c>
    </row>
    <row r="234" spans="1:5" x14ac:dyDescent="0.35">
      <c r="A234" s="6" t="s">
        <v>759</v>
      </c>
      <c r="B234" s="6" t="s">
        <v>760</v>
      </c>
      <c r="C234" s="6" t="s">
        <v>761</v>
      </c>
      <c r="D234" s="6">
        <v>798</v>
      </c>
      <c r="E234" s="6">
        <v>688</v>
      </c>
    </row>
    <row r="235" spans="1:5" x14ac:dyDescent="0.35">
      <c r="A235" s="6" t="s">
        <v>762</v>
      </c>
      <c r="B235" s="6" t="s">
        <v>763</v>
      </c>
      <c r="C235" s="6" t="s">
        <v>764</v>
      </c>
      <c r="D235" s="6">
        <v>800</v>
      </c>
      <c r="E235" s="6">
        <v>256</v>
      </c>
    </row>
    <row r="236" spans="1:5" x14ac:dyDescent="0.35">
      <c r="A236" s="6" t="s">
        <v>765</v>
      </c>
      <c r="B236" s="6" t="s">
        <v>766</v>
      </c>
      <c r="C236" s="6" t="s">
        <v>767</v>
      </c>
      <c r="D236" s="6">
        <v>804</v>
      </c>
      <c r="E236" s="6">
        <v>380</v>
      </c>
    </row>
    <row r="237" spans="1:5" x14ac:dyDescent="0.35">
      <c r="A237" s="6" t="s">
        <v>768</v>
      </c>
      <c r="B237" s="6" t="s">
        <v>769</v>
      </c>
      <c r="C237" s="6" t="s">
        <v>770</v>
      </c>
      <c r="D237" s="6">
        <v>784</v>
      </c>
      <c r="E237" s="6">
        <v>971</v>
      </c>
    </row>
    <row r="238" spans="1:5" x14ac:dyDescent="0.35">
      <c r="A238" s="6" t="s">
        <v>771</v>
      </c>
      <c r="B238" s="6" t="s">
        <v>772</v>
      </c>
      <c r="C238" s="6" t="s">
        <v>773</v>
      </c>
      <c r="D238" s="6">
        <v>826</v>
      </c>
      <c r="E238" s="6">
        <v>44</v>
      </c>
    </row>
    <row r="239" spans="1:5" x14ac:dyDescent="0.35">
      <c r="A239" s="6" t="s">
        <v>774</v>
      </c>
      <c r="B239" s="6" t="s">
        <v>775</v>
      </c>
      <c r="C239" s="6" t="s">
        <v>776</v>
      </c>
      <c r="D239" s="6">
        <v>840</v>
      </c>
      <c r="E239" s="6">
        <v>1</v>
      </c>
    </row>
    <row r="240" spans="1:5" x14ac:dyDescent="0.35">
      <c r="A240" s="6" t="s">
        <v>777</v>
      </c>
      <c r="B240" s="6" t="s">
        <v>778</v>
      </c>
      <c r="C240" s="6" t="s">
        <v>779</v>
      </c>
      <c r="D240" s="6">
        <v>581</v>
      </c>
      <c r="E240" s="6">
        <v>1</v>
      </c>
    </row>
    <row r="241" spans="1:5" x14ac:dyDescent="0.35">
      <c r="A241" s="6" t="s">
        <v>780</v>
      </c>
      <c r="B241" s="6" t="s">
        <v>781</v>
      </c>
      <c r="C241" s="6" t="s">
        <v>782</v>
      </c>
      <c r="D241" s="6">
        <v>858</v>
      </c>
      <c r="E241" s="6">
        <v>598</v>
      </c>
    </row>
    <row r="242" spans="1:5" x14ac:dyDescent="0.35">
      <c r="A242" s="6" t="s">
        <v>783</v>
      </c>
      <c r="B242" s="6" t="s">
        <v>784</v>
      </c>
      <c r="C242" s="6" t="s">
        <v>785</v>
      </c>
      <c r="D242" s="6">
        <v>850</v>
      </c>
      <c r="E242" s="6">
        <v>1340</v>
      </c>
    </row>
    <row r="243" spans="1:5" x14ac:dyDescent="0.35">
      <c r="A243" s="6" t="s">
        <v>786</v>
      </c>
      <c r="B243" s="6" t="s">
        <v>787</v>
      </c>
      <c r="C243" s="6" t="s">
        <v>788</v>
      </c>
      <c r="D243" s="6">
        <v>860</v>
      </c>
      <c r="E243" s="6">
        <v>998</v>
      </c>
    </row>
    <row r="244" spans="1:5" x14ac:dyDescent="0.35">
      <c r="A244" s="6" t="s">
        <v>789</v>
      </c>
      <c r="B244" s="6" t="s">
        <v>790</v>
      </c>
      <c r="C244" s="6" t="s">
        <v>791</v>
      </c>
      <c r="D244" s="6">
        <v>548</v>
      </c>
      <c r="E244" s="6">
        <v>678</v>
      </c>
    </row>
    <row r="245" spans="1:5" x14ac:dyDescent="0.35">
      <c r="A245" s="6" t="s">
        <v>792</v>
      </c>
      <c r="B245" s="6" t="s">
        <v>793</v>
      </c>
      <c r="C245" s="6" t="s">
        <v>794</v>
      </c>
      <c r="D245" s="6">
        <v>862</v>
      </c>
      <c r="E245" s="6">
        <v>58</v>
      </c>
    </row>
    <row r="246" spans="1:5" x14ac:dyDescent="0.35">
      <c r="A246" s="6" t="s">
        <v>795</v>
      </c>
      <c r="B246" s="6" t="s">
        <v>796</v>
      </c>
      <c r="C246" s="6" t="s">
        <v>797</v>
      </c>
      <c r="D246" s="6">
        <v>704</v>
      </c>
      <c r="E246" s="6">
        <v>84</v>
      </c>
    </row>
    <row r="247" spans="1:5" x14ac:dyDescent="0.35">
      <c r="A247" s="6" t="s">
        <v>798</v>
      </c>
      <c r="B247" s="6" t="s">
        <v>799</v>
      </c>
      <c r="C247" s="6" t="s">
        <v>800</v>
      </c>
      <c r="D247" s="6">
        <v>876</v>
      </c>
      <c r="E247" s="6">
        <v>681</v>
      </c>
    </row>
    <row r="248" spans="1:5" x14ac:dyDescent="0.35">
      <c r="A248" s="6" t="s">
        <v>801</v>
      </c>
      <c r="B248" s="6" t="s">
        <v>802</v>
      </c>
      <c r="C248" s="6" t="s">
        <v>803</v>
      </c>
      <c r="D248" s="6">
        <v>732</v>
      </c>
      <c r="E248" s="6">
        <v>212</v>
      </c>
    </row>
    <row r="249" spans="1:5" x14ac:dyDescent="0.35">
      <c r="A249" s="6" t="s">
        <v>804</v>
      </c>
      <c r="B249" s="6" t="s">
        <v>805</v>
      </c>
      <c r="C249" s="6" t="s">
        <v>806</v>
      </c>
      <c r="D249" s="6">
        <v>887</v>
      </c>
      <c r="E249" s="6">
        <v>967</v>
      </c>
    </row>
    <row r="250" spans="1:5" x14ac:dyDescent="0.35">
      <c r="A250" s="6" t="s">
        <v>807</v>
      </c>
      <c r="B250" s="6" t="s">
        <v>808</v>
      </c>
      <c r="C250" s="6" t="s">
        <v>809</v>
      </c>
      <c r="D250" s="6">
        <v>894</v>
      </c>
      <c r="E250" s="6">
        <v>260</v>
      </c>
    </row>
    <row r="251" spans="1:5" x14ac:dyDescent="0.35">
      <c r="A251" s="6" t="s">
        <v>810</v>
      </c>
      <c r="B251" s="6" t="s">
        <v>811</v>
      </c>
      <c r="C251" s="6" t="s">
        <v>812</v>
      </c>
      <c r="D251" s="6">
        <v>716</v>
      </c>
      <c r="E251" s="6">
        <v>263</v>
      </c>
    </row>
  </sheetData>
  <pageMargins left="0.75" right="0.75" top="1" bottom="1" header="0.5" footer="0.5"/>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35"/>
  <sheetViews>
    <sheetView workbookViewId="0">
      <pane xSplit="2" ySplit="1" topLeftCell="C2" activePane="bottomRight" state="frozen"/>
      <selection pane="topRight"/>
      <selection pane="bottomLeft"/>
      <selection pane="bottomRight"/>
    </sheetView>
  </sheetViews>
  <sheetFormatPr defaultRowHeight="14.5" x14ac:dyDescent="0.35"/>
  <cols>
    <col min="1" max="1" width="12" customWidth="1"/>
    <col min="2" max="2" width="14" customWidth="1"/>
    <col min="3" max="3" width="20" style="9" customWidth="1"/>
    <col min="4" max="4" width="11" customWidth="1"/>
    <col min="5" max="5" width="25" style="9" customWidth="1"/>
    <col min="6" max="6" width="11" customWidth="1"/>
    <col min="7" max="7" width="13" style="9" customWidth="1"/>
    <col min="8" max="8" width="19" customWidth="1"/>
    <col min="9" max="15" width="11" customWidth="1"/>
    <col min="16" max="16" width="13" customWidth="1"/>
    <col min="17" max="17" width="14" customWidth="1"/>
    <col min="18" max="19" width="11" customWidth="1"/>
    <col min="20" max="20" width="52" customWidth="1"/>
    <col min="21" max="21" width="17" style="9" customWidth="1"/>
    <col min="22" max="22" width="15" customWidth="1"/>
    <col min="23" max="23" width="56" customWidth="1"/>
    <col min="24" max="27" width="52" customWidth="1"/>
    <col min="28" max="28" width="70" customWidth="1"/>
    <col min="30" max="30" width="52" customWidth="1"/>
  </cols>
  <sheetData>
    <row r="1" spans="1:30" x14ac:dyDescent="0.35">
      <c r="A1" s="4" t="s">
        <v>813</v>
      </c>
      <c r="B1" s="4" t="s">
        <v>814</v>
      </c>
      <c r="C1" s="4" t="s">
        <v>815</v>
      </c>
      <c r="D1" s="4" t="s">
        <v>816</v>
      </c>
      <c r="E1" s="4" t="s">
        <v>817</v>
      </c>
      <c r="F1" s="4" t="s">
        <v>818</v>
      </c>
      <c r="G1" s="4" t="s">
        <v>819</v>
      </c>
      <c r="H1" s="4" t="s">
        <v>820</v>
      </c>
      <c r="I1" s="4" t="s">
        <v>821</v>
      </c>
      <c r="J1" s="4" t="s">
        <v>822</v>
      </c>
      <c r="K1" s="4" t="s">
        <v>823</v>
      </c>
      <c r="L1" s="4" t="s">
        <v>824</v>
      </c>
      <c r="M1" s="4" t="s">
        <v>825</v>
      </c>
      <c r="N1" s="4" t="s">
        <v>826</v>
      </c>
      <c r="O1" s="4" t="s">
        <v>827</v>
      </c>
      <c r="P1" s="4" t="s">
        <v>828</v>
      </c>
      <c r="Q1" s="4" t="s">
        <v>829</v>
      </c>
      <c r="R1" s="4" t="s">
        <v>830</v>
      </c>
      <c r="S1" s="4" t="s">
        <v>379</v>
      </c>
      <c r="T1" s="4" t="s">
        <v>831</v>
      </c>
      <c r="U1" s="4" t="s">
        <v>832</v>
      </c>
      <c r="V1" s="4" t="s">
        <v>833</v>
      </c>
      <c r="W1" s="4" t="s">
        <v>834</v>
      </c>
      <c r="X1" s="4" t="s">
        <v>835</v>
      </c>
      <c r="Y1" s="4" t="s">
        <v>836</v>
      </c>
      <c r="Z1" s="4" t="s">
        <v>837</v>
      </c>
      <c r="AA1" s="4" t="s">
        <v>838</v>
      </c>
      <c r="AB1" s="4" t="s">
        <v>839</v>
      </c>
      <c r="AC1" s="4"/>
      <c r="AD1" s="8" t="s">
        <v>840</v>
      </c>
    </row>
    <row r="2" spans="1:30" x14ac:dyDescent="0.35">
      <c r="A2" s="6" t="s">
        <v>841</v>
      </c>
      <c r="B2" s="6" t="s">
        <v>842</v>
      </c>
      <c r="C2" s="9" t="s">
        <v>843</v>
      </c>
      <c r="D2" s="6"/>
      <c r="E2" s="9" t="s">
        <v>844</v>
      </c>
      <c r="F2" s="6"/>
      <c r="G2" s="9" t="s">
        <v>845</v>
      </c>
      <c r="H2" s="6" t="s">
        <v>615</v>
      </c>
      <c r="I2" s="6"/>
      <c r="J2" s="6"/>
      <c r="K2" s="6"/>
      <c r="L2" s="6"/>
      <c r="M2" s="6"/>
      <c r="N2" s="6"/>
      <c r="O2" s="6"/>
      <c r="P2" s="6" t="s">
        <v>59</v>
      </c>
      <c r="Q2" s="6" t="s">
        <v>60</v>
      </c>
      <c r="R2" s="6"/>
      <c r="S2" s="6"/>
      <c r="T2" s="6" t="str">
        <f ca="1">IF($C2="","",IF($V2="","No digits at all - enter a phone number",IF(NOT(SUMPRODUCT(--ISNUMBER(--MID($V2,ROW(INDIRECT("1:"&amp;LEN($V2))),1)))=LEN($V2)),"Digits only - no letters or symbols (+ ( ) - . and spaces are tolerated)",IF(LEN($V2)&lt;8,"Too short - "&amp;LEN($V2)&amp;" digits (min 8)",IF(LEN($V2)&gt;15,"Too long - "&amp;LEN($V2)&amp;" digits (max 15)",IF($H2="","WARNING: SIM_Country is empty - cannot check the country code",IF(ISNA(MATCH($H2,tblCountries[Name],0)),IF(ISNA(MATCH(TRIM(SUBSTITUTE($H2,CHAR(160)," ")),tblCountries[Name],0)),"WARNING: SIM_Country """&amp;$H2&amp;""" is not in tblCountries","WARNING: SIM_Country """&amp;$H2&amp;""" has stray spaces around it (usually from a paste) - retype it or pick it from the dropdown"),IF(LEFT($V2,LEN(TEXT(INDEX(tblCountries[DialCode],MATCH($H2,tblCountries[Name],0)),"0")))&lt;&gt;TEXT(INDEX(tblCountries[DialCode],MATCH($H2,tblCountries[Name],0)),"0"),"Wrong country code - must start with +"&amp;TEXT(INDEX(tblCountries[DialCode],MATCH($H2,tblCountries[Name],0)),"0")&amp;" for "&amp;$H2,"OK"))))))))</f>
        <v>OK</v>
      </c>
      <c r="U2" s="9" t="s">
        <v>846</v>
      </c>
      <c r="V2" s="11" t="str">
        <f t="shared" ref="V2:V35" si="0">IF($C2="","",IF(LEFT(SUBSTITUTE(SUBSTITUTE(SUBSTITUTE(SUBSTITUTE(SUBSTITUTE(SUBSTITUTE(SUBSTITUTE(TRIM($C2&amp;""),"+","")," ",""),"-",""),"(",""),")",""),".",""),CHAR(160),""),2)="00",MID(SUBSTITUTE(SUBSTITUTE(SUBSTITUTE(SUBSTITUTE(SUBSTITUTE(SUBSTITUTE(SUBSTITUTE(TRIM($C2&amp;""),"+","")," ",""),"-",""),"(",""),")",""),".",""),CHAR(160),""),3,255),SUBSTITUTE(SUBSTITUTE(SUBSTITUTE(SUBSTITUTE(SUBSTITUTE(SUBSTITUTE(SUBSTITUTE(TRIM($C2&amp;""),"+","")," ",""),"-",""),"(",""),")",""),".",""),CHAR(160),"")))</f>
        <v>40712345678</v>
      </c>
      <c r="W2" s="6" t="str">
        <f t="shared" ref="W2:W35" ca="1" si="1">IF($E2="","",IF(ISNUMBER($E2),"Stored as a NUMBER - every digit past the 15th is already lost. Format the column as Text and re-enter.",IF(NOT(SUMPRODUCT(--ISNUMBER(--MID(TRIM($E2&amp;""),ROW(INDIRECT("1:"&amp;LEN(TRIM($E2&amp;"")))),1)))=LEN(TRIM($E2&amp;""))),"Digits only - no +, -, spaces or any other character",IF(LEFT(TRIM($E2&amp;""),2)&lt;&gt;"89","Must start with 89 (ITU-T E.118 telecom prefix)",IF(LEN(TRIM($E2&amp;""))&lt;18,"Too short - "&amp;LEN(TRIM($E2&amp;""))&amp;" digits (min 18)",IF(LEN(TRIM($E2&amp;""))&gt;22,"Too long - "&amp;LEN(TRIM($E2&amp;""))&amp;" digits (max 22)",IF(NOT(MOD(SUMPRODUCT(MID(TRIM($E2&amp;""),ROW(INDIRECT("1:"&amp;LEN(TRIM($E2&amp;"")))),1)*1*(1+MOD(LEN(TRIM($E2&amp;""))-ROW(INDIRECT("1:"&amp;LEN(TRIM($E2&amp;"")))),2))-MOD(LEN(TRIM($E2&amp;""))-ROW(INDIRECT("1:"&amp;LEN(TRIM($E2&amp;"")))),2)*9*(MID(TRIM($E2&amp;""),ROW(INDIRECT("1:"&amp;LEN(TRIM($E2&amp;"")))),1)*1*2&gt;9)),10)=0),"WARNING: Luhn check digit does not match - likely a typo or a transposition","OK")))))))</f>
        <v>OK</v>
      </c>
      <c r="X2" s="6" t="str">
        <f t="shared" ref="X2:X35" ca="1" si="2">IF($U2="","",IF(NOT(SUMPRODUCT(--ISNUMBER(--MID(TRIM($U2&amp;""),ROW(INDIRECT("1:"&amp;LEN(TRIM($U2&amp;"")))),1)))=LEN(TRIM($U2&amp;""))),"Digits only - no +, -, spaces or any other character",IF(LEN(TRIM($U2&amp;""))&lt;&gt;15,"Must be exactly 15 digits - this one has "&amp;LEN(TRIM($U2&amp;"")),IF(NOT(MOD(SUMPRODUCT(MID(TRIM($U2&amp;""),ROW(INDIRECT("1:"&amp;LEN(TRIM($U2&amp;"")))),1)*1*(1+MOD(LEN(TRIM($U2&amp;""))-ROW(INDIRECT("1:"&amp;LEN(TRIM($U2&amp;"")))),2))-MOD(LEN(TRIM($U2&amp;""))-ROW(INDIRECT("1:"&amp;LEN(TRIM($U2&amp;"")))),2)*9*(MID(TRIM($U2&amp;""),ROW(INDIRECT("1:"&amp;LEN(TRIM($U2&amp;"")))),1)*1*2&gt;9)),10)=0),"WARNING: Luhn check digit does not match - likely a typo or a transposition","OK"))))</f>
        <v>OK</v>
      </c>
      <c r="Y2" s="6" t="str">
        <f t="shared" ref="Y2:Y35" ca="1" si="3">IF($G2="","",IF(ISNUMBER($G2),IF(OR($G2&lt;DATE(2000,1,1),$G2&gt;TODAY()+730),"WARNING: real date, but outside 2000-01-01 .. today+2y - check the day/month order","OK"),IF(LEN(TRIM($G2&amp;""))&lt;&gt;10,"Must be dd-mm-yyyy - 10 characters, this one has "&amp;LEN(TRIM($G2&amp;"")),IF(AND(NOT(ISERROR(FIND(MID(TRIM($G2&amp;""),5,1),"-/."))),NOT(ISERROR(FIND(MID(TRIM($G2&amp;""),8,1),"-/."))),SUMPRODUCT(--ISNUMBER(--MID(LEFT(TRIM($G2&amp;""),4),ROW(INDIRECT("1:"&amp;LEN(LEFT(TRIM($G2&amp;""),4)))),1)))=LEN(LEFT(TRIM($G2&amp;""),4))),"Looks like yyyy-mm-dd - StartDate must put the DAY first: dd-mm-yyyy",IF(OR(MID(TRIM($G2&amp;""),3,1)&lt;&gt;MID(TRIM($G2&amp;""),6,1),ISERROR(FIND(MID(TRIM($G2&amp;""),3,1),"-/."))),"Separators must be in positions 3 and 6, matching, and be - or / or .",IF(NOT(AND(SUMPRODUCT(--ISNUMBER(--MID(LEFT(TRIM($G2&amp;""),2),ROW(INDIRECT("1:"&amp;LEN(LEFT(TRIM($G2&amp;""),2)))),1)))=LEN(LEFT(TRIM($G2&amp;""),2)),SUMPRODUCT(--ISNUMBER(--MID(MID(TRIM($G2&amp;""),4,2),ROW(INDIRECT("1:"&amp;LEN(MID(TRIM($G2&amp;""),4,2)))),1)))=LEN(MID(TRIM($G2&amp;""),4,2)),SUMPRODUCT(--ISNUMBER(--MID(RIGHT(TRIM($G2&amp;""),4),ROW(INDIRECT("1:"&amp;LEN(RIGHT(TRIM($G2&amp;""),4)))),1)))=LEN(RIGHT(TRIM($G2&amp;""),4)))),"Day, month and year must all be digits",IF(OR(LEFT(TRIM($G2&amp;""),2)*1&lt;1,LEFT(TRIM($G2&amp;""),2)*1&gt;31),"Day out of range - dd-mm-yyyy puts the DAY first",IF(OR(MID(TRIM($G2&amp;""),4,2)*1&lt;1,MID(TRIM($G2&amp;""),4,2)*1&gt;12),"Month out of range - dd-mm-yyyy puts the MONTH second",IF(OR(RIGHT(TRIM($G2&amp;""),4)*1&lt;2000,RIGHT(TRIM($G2&amp;""),4)*1&gt;2100),"Year out of range (2000-2100)",IF(DAY(DATE(RIGHT(TRIM($G2&amp;""),4)*1,MID(TRIM($G2&amp;""),4,2)*1,LEFT(TRIM($G2&amp;""),2)*1))&lt;&gt;LEFT(TRIM($G2&amp;""),2)*1,"Not a real calendar date (e.g. 31-02 or 30-02)","OK"))))))))))</f>
        <v>OK</v>
      </c>
      <c r="Z2" s="6" t="str">
        <f>IF($P2="","",IF(SUMPRODUCT(--EXACT($P2,Config!$G$2:$G$4))&gt;0,"OK",IF(NOT(ISNA(MATCH($P2,Config!$G$2:$G$4,0))),"WARNING: wrong capitalisation - should be """&amp;INDEX(Config!$G$2:$G$4,MATCH($P2,Config!$G$2:$G$4,0))&amp;""" exactly","Must be one of: Active, Deactivated, Suspended")))</f>
        <v>OK</v>
      </c>
      <c r="AA2" s="6" t="str">
        <f>IF($Q2="","",IF(SUMPRODUCT(--EXACT($Q2,Config!$H$2:$H$3))&gt;0,"OK",IF(NOT(ISNA(MATCH($Q2,Config!$H$2:$H$3,0))),"WARNING: wrong capitalisation - should be """&amp;INDEX(Config!$H$2:$H$3,MATCH($Q2,Config!$H$2:$H$3,0))&amp;""" exactly","Must be one of: eSIM, Physical SIM")))</f>
        <v>OK</v>
      </c>
      <c r="AB2" s="6" t="str">
        <f t="shared" ref="AB2:AB35" ca="1" si="4">IF(IF(OR($T2="",$T2="OK"),"","PhoneNr: "&amp;$T2&amp;"  //  ")&amp;IF(OR($W2="",$W2="OK"),"","ICC_ID: "&amp;$W2&amp;"  //  ")&amp;IF(OR($Y2="",$Y2="OK"),"","StartDate: "&amp;$Y2&amp;"  //  ")&amp;IF(OR($Z2="",$Z2="OK"),"","Status: "&amp;$Z2&amp;"  //  ")&amp;IF(OR($AA2="",$AA2="OK"),"","SIM Type: "&amp;$AA2&amp;"  //  ")&amp;IF(OR($X2="",$X2="OK"),"","IMEI: "&amp;$X2&amp;"  //  ")="","OK",LEFT(IF(OR($T2="",$T2="OK"),"","PhoneNr: "&amp;$T2&amp;"  //  ")&amp;IF(OR($W2="",$W2="OK"),"","ICC_ID: "&amp;$W2&amp;"  //  ")&amp;IF(OR($Y2="",$Y2="OK"),"","StartDate: "&amp;$Y2&amp;"  //  ")&amp;IF(OR($Z2="",$Z2="OK"),"","Status: "&amp;$Z2&amp;"  //  ")&amp;IF(OR($AA2="",$AA2="OK"),"","SIM Type: "&amp;$AA2&amp;"  //  ")&amp;IF(OR($X2="",$X2="OK"),"","IMEI: "&amp;$X2&amp;"  //  "),LEN(IF(OR($T2="",$T2="OK"),"","PhoneNr: "&amp;$T2&amp;"  //  ")&amp;IF(OR($W2="",$W2="OK"),"","ICC_ID: "&amp;$W2&amp;"  //  ")&amp;IF(OR($Y2="",$Y2="OK"),"","StartDate: "&amp;$Y2&amp;"  //  ")&amp;IF(OR($Z2="",$Z2="OK"),"","Status: "&amp;$Z2&amp;"  //  ")&amp;IF(OR($AA2="",$AA2="OK"),"","SIM Type: "&amp;$AA2&amp;"  //  ")&amp;IF(OR($X2="",$X2="OK"),"","IMEI: "&amp;$X2&amp;"  //  "))-6))</f>
        <v>OK</v>
      </c>
      <c r="AC2" s="6"/>
      <c r="AD2" s="7" t="s">
        <v>847</v>
      </c>
    </row>
    <row r="3" spans="1:30" x14ac:dyDescent="0.35">
      <c r="A3" s="6" t="s">
        <v>848</v>
      </c>
      <c r="B3" s="6" t="s">
        <v>849</v>
      </c>
      <c r="C3" s="9" t="s">
        <v>850</v>
      </c>
      <c r="D3" s="6"/>
      <c r="E3" s="9" t="s">
        <v>851</v>
      </c>
      <c r="F3" s="6"/>
      <c r="G3" s="9" t="s">
        <v>852</v>
      </c>
      <c r="H3" s="6" t="s">
        <v>615</v>
      </c>
      <c r="I3" s="6"/>
      <c r="J3" s="6"/>
      <c r="K3" s="6"/>
      <c r="L3" s="6"/>
      <c r="M3" s="6"/>
      <c r="N3" s="6"/>
      <c r="O3" s="6"/>
      <c r="P3" s="6" t="s">
        <v>64</v>
      </c>
      <c r="Q3" s="6" t="s">
        <v>65</v>
      </c>
      <c r="R3" s="6"/>
      <c r="S3" s="6"/>
      <c r="T3" s="6" t="str">
        <f ca="1">IF($C3="","",IF($V3="","No digits at all - enter a phone number",IF(NOT(SUMPRODUCT(--ISNUMBER(--MID($V3,ROW(INDIRECT("1:"&amp;LEN($V3))),1)))=LEN($V3)),"Digits only - no letters or symbols (+ ( ) - . and spaces are tolerated)",IF(LEN($V3)&lt;8,"Too short - "&amp;LEN($V3)&amp;" digits (min 8)",IF(LEN($V3)&gt;15,"Too long - "&amp;LEN($V3)&amp;" digits (max 15)",IF($H3="","WARNING: SIM_Country is empty - cannot check the country code",IF(ISNA(MATCH($H3,tblCountries[Name],0)),IF(ISNA(MATCH(TRIM(SUBSTITUTE($H3,CHAR(160)," ")),tblCountries[Name],0)),"WARNING: SIM_Country """&amp;$H3&amp;""" is not in tblCountries","WARNING: SIM_Country """&amp;$H3&amp;""" has stray spaces around it (usually from a paste) - retype it or pick it from the dropdown"),IF(LEFT($V3,LEN(TEXT(INDEX(tblCountries[DialCode],MATCH($H3,tblCountries[Name],0)),"0")))&lt;&gt;TEXT(INDEX(tblCountries[DialCode],MATCH($H3,tblCountries[Name],0)),"0"),"Wrong country code - must start with +"&amp;TEXT(INDEX(tblCountries[DialCode],MATCH($H3,tblCountries[Name],0)),"0")&amp;" for "&amp;$H3,"OK"))))))))</f>
        <v>OK</v>
      </c>
      <c r="U3" s="9" t="s">
        <v>853</v>
      </c>
      <c r="V3" s="11" t="str">
        <f t="shared" si="0"/>
        <v>40712345678</v>
      </c>
      <c r="W3" s="6" t="str">
        <f t="shared" ca="1" si="1"/>
        <v>OK</v>
      </c>
      <c r="X3" s="6" t="str">
        <f t="shared" ca="1" si="2"/>
        <v>OK</v>
      </c>
      <c r="Y3" s="6" t="str">
        <f t="shared" ca="1" si="3"/>
        <v>OK</v>
      </c>
      <c r="Z3" s="6" t="str">
        <f>IF($P3="","",IF(SUMPRODUCT(--EXACT($P3,Config!$G$2:$G$4))&gt;0,"OK",IF(NOT(ISNA(MATCH($P3,Config!$G$2:$G$4,0))),"WARNING: wrong capitalisation - should be """&amp;INDEX(Config!$G$2:$G$4,MATCH($P3,Config!$G$2:$G$4,0))&amp;""" exactly","Must be one of: Active, Deactivated, Suspended")))</f>
        <v>OK</v>
      </c>
      <c r="AA3" s="6" t="str">
        <f>IF($Q3="","",IF(SUMPRODUCT(--EXACT($Q3,Config!$H$2:$H$3))&gt;0,"OK",IF(NOT(ISNA(MATCH($Q3,Config!$H$2:$H$3,0))),"WARNING: wrong capitalisation - should be """&amp;INDEX(Config!$H$2:$H$3,MATCH($Q3,Config!$H$2:$H$3,0))&amp;""" exactly","Must be one of: eSIM, Physical SIM")))</f>
        <v>OK</v>
      </c>
      <c r="AB3" s="6" t="str">
        <f t="shared" ca="1" si="4"/>
        <v>OK</v>
      </c>
      <c r="AC3" s="6"/>
      <c r="AD3" s="7" t="s">
        <v>854</v>
      </c>
    </row>
    <row r="4" spans="1:30" x14ac:dyDescent="0.35">
      <c r="A4" s="6" t="s">
        <v>855</v>
      </c>
      <c r="B4" s="6" t="s">
        <v>856</v>
      </c>
      <c r="C4" s="9" t="s">
        <v>857</v>
      </c>
      <c r="D4" s="6"/>
      <c r="E4" s="9" t="s">
        <v>858</v>
      </c>
      <c r="F4" s="6"/>
      <c r="G4" s="9" t="s">
        <v>859</v>
      </c>
      <c r="H4" s="6" t="s">
        <v>615</v>
      </c>
      <c r="I4" s="6"/>
      <c r="J4" s="6"/>
      <c r="K4" s="6"/>
      <c r="L4" s="6"/>
      <c r="M4" s="6"/>
      <c r="N4" s="6"/>
      <c r="O4" s="6"/>
      <c r="P4" s="6" t="s">
        <v>59</v>
      </c>
      <c r="Q4" s="6" t="s">
        <v>60</v>
      </c>
      <c r="R4" s="6"/>
      <c r="S4" s="6"/>
      <c r="T4" s="6" t="str">
        <f ca="1">IF($C4="","",IF($V4="","No digits at all - enter a phone number",IF(NOT(SUMPRODUCT(--ISNUMBER(--MID($V4,ROW(INDIRECT("1:"&amp;LEN($V4))),1)))=LEN($V4)),"Digits only - no letters or symbols (+ ( ) - . and spaces are tolerated)",IF(LEN($V4)&lt;8,"Too short - "&amp;LEN($V4)&amp;" digits (min 8)",IF(LEN($V4)&gt;15,"Too long - "&amp;LEN($V4)&amp;" digits (max 15)",IF($H4="","WARNING: SIM_Country is empty - cannot check the country code",IF(ISNA(MATCH($H4,tblCountries[Name],0)),IF(ISNA(MATCH(TRIM(SUBSTITUTE($H4,CHAR(160)," ")),tblCountries[Name],0)),"WARNING: SIM_Country """&amp;$H4&amp;""" is not in tblCountries","WARNING: SIM_Country """&amp;$H4&amp;""" has stray spaces around it (usually from a paste) - retype it or pick it from the dropdown"),IF(LEFT($V4,LEN(TEXT(INDEX(tblCountries[DialCode],MATCH($H4,tblCountries[Name],0)),"0")))&lt;&gt;TEXT(INDEX(tblCountries[DialCode],MATCH($H4,tblCountries[Name],0)),"0"),"Wrong country code - must start with +"&amp;TEXT(INDEX(tblCountries[DialCode],MATCH($H4,tblCountries[Name],0)),"0")&amp;" for "&amp;$H4,"OK"))))))))</f>
        <v>Wrong country code - must start with +40 for Romania</v>
      </c>
      <c r="U4" s="9" t="s">
        <v>846</v>
      </c>
      <c r="V4" s="11" t="str">
        <f t="shared" si="0"/>
        <v>0712345678</v>
      </c>
      <c r="W4" s="6" t="str">
        <f t="shared" ca="1" si="1"/>
        <v>OK</v>
      </c>
      <c r="X4" s="6" t="str">
        <f t="shared" ca="1" si="2"/>
        <v>OK</v>
      </c>
      <c r="Y4" s="6" t="str">
        <f t="shared" ca="1" si="3"/>
        <v>OK</v>
      </c>
      <c r="Z4" s="6" t="str">
        <f>IF($P4="","",IF(SUMPRODUCT(--EXACT($P4,Config!$G$2:$G$4))&gt;0,"OK",IF(NOT(ISNA(MATCH($P4,Config!$G$2:$G$4,0))),"WARNING: wrong capitalisation - should be """&amp;INDEX(Config!$G$2:$G$4,MATCH($P4,Config!$G$2:$G$4,0))&amp;""" exactly","Must be one of: Active, Deactivated, Suspended")))</f>
        <v>OK</v>
      </c>
      <c r="AA4" s="6" t="str">
        <f>IF($Q4="","",IF(SUMPRODUCT(--EXACT($Q4,Config!$H$2:$H$3))&gt;0,"OK",IF(NOT(ISNA(MATCH($Q4,Config!$H$2:$H$3,0))),"WARNING: wrong capitalisation - should be """&amp;INDEX(Config!$H$2:$H$3,MATCH($Q4,Config!$H$2:$H$3,0))&amp;""" exactly","Must be one of: eSIM, Physical SIM")))</f>
        <v>OK</v>
      </c>
      <c r="AB4" s="6" t="str">
        <f t="shared" ca="1" si="4"/>
        <v>PhoneNr: Wrong country code - must start with +40 for Romania</v>
      </c>
      <c r="AC4" s="6"/>
      <c r="AD4" s="7" t="s">
        <v>860</v>
      </c>
    </row>
    <row r="5" spans="1:30" x14ac:dyDescent="0.35">
      <c r="A5" s="6" t="s">
        <v>861</v>
      </c>
      <c r="B5" s="6" t="s">
        <v>862</v>
      </c>
      <c r="C5" s="9" t="s">
        <v>863</v>
      </c>
      <c r="D5" s="6"/>
      <c r="E5" s="9" t="s">
        <v>864</v>
      </c>
      <c r="F5" s="6"/>
      <c r="G5" s="9" t="s">
        <v>865</v>
      </c>
      <c r="H5" s="6" t="s">
        <v>315</v>
      </c>
      <c r="I5" s="6"/>
      <c r="J5" s="6"/>
      <c r="K5" s="6"/>
      <c r="L5" s="6"/>
      <c r="M5" s="6"/>
      <c r="N5" s="6"/>
      <c r="O5" s="6"/>
      <c r="P5" s="6" t="s">
        <v>69</v>
      </c>
      <c r="Q5" s="6" t="s">
        <v>65</v>
      </c>
      <c r="R5" s="6"/>
      <c r="S5" s="6"/>
      <c r="T5" s="6" t="str">
        <f ca="1">IF($C5="","",IF($V5="","No digits at all - enter a phone number",IF(NOT(SUMPRODUCT(--ISNUMBER(--MID($V5,ROW(INDIRECT("1:"&amp;LEN($V5))),1)))=LEN($V5)),"Digits only - no letters or symbols (+ ( ) - . and spaces are tolerated)",IF(LEN($V5)&lt;8,"Too short - "&amp;LEN($V5)&amp;" digits (min 8)",IF(LEN($V5)&gt;15,"Too long - "&amp;LEN($V5)&amp;" digits (max 15)",IF($H5="","WARNING: SIM_Country is empty - cannot check the country code",IF(ISNA(MATCH($H5,tblCountries[Name],0)),IF(ISNA(MATCH(TRIM(SUBSTITUTE($H5,CHAR(160)," ")),tblCountries[Name],0)),"WARNING: SIM_Country """&amp;$H5&amp;""" is not in tblCountries","WARNING: SIM_Country """&amp;$H5&amp;""" has stray spaces around it (usually from a paste) - retype it or pick it from the dropdown"),IF(LEFT($V5,LEN(TEXT(INDEX(tblCountries[DialCode],MATCH($H5,tblCountries[Name],0)),"0")))&lt;&gt;TEXT(INDEX(tblCountries[DialCode],MATCH($H5,tblCountries[Name],0)),"0"),"Wrong country code - must start with +"&amp;TEXT(INDEX(tblCountries[DialCode],MATCH($H5,tblCountries[Name],0)),"0")&amp;" for "&amp;$H5,"OK"))))))))</f>
        <v>OK</v>
      </c>
      <c r="U5" s="9" t="s">
        <v>853</v>
      </c>
      <c r="V5" s="11" t="str">
        <f t="shared" si="0"/>
        <v>4915112345678</v>
      </c>
      <c r="W5" s="6" t="str">
        <f t="shared" ca="1" si="1"/>
        <v>OK</v>
      </c>
      <c r="X5" s="6" t="str">
        <f t="shared" ca="1" si="2"/>
        <v>OK</v>
      </c>
      <c r="Y5" s="6" t="str">
        <f t="shared" ca="1" si="3"/>
        <v>OK</v>
      </c>
      <c r="Z5" s="6" t="str">
        <f>IF($P5="","",IF(SUMPRODUCT(--EXACT($P5,Config!$G$2:$G$4))&gt;0,"OK",IF(NOT(ISNA(MATCH($P5,Config!$G$2:$G$4,0))),"WARNING: wrong capitalisation - should be """&amp;INDEX(Config!$G$2:$G$4,MATCH($P5,Config!$G$2:$G$4,0))&amp;""" exactly","Must be one of: Active, Deactivated, Suspended")))</f>
        <v>OK</v>
      </c>
      <c r="AA5" s="6" t="str">
        <f>IF($Q5="","",IF(SUMPRODUCT(--EXACT($Q5,Config!$H$2:$H$3))&gt;0,"OK",IF(NOT(ISNA(MATCH($Q5,Config!$H$2:$H$3,0))),"WARNING: wrong capitalisation - should be """&amp;INDEX(Config!$H$2:$H$3,MATCH($Q5,Config!$H$2:$H$3,0))&amp;""" exactly","Must be one of: eSIM, Physical SIM")))</f>
        <v>OK</v>
      </c>
      <c r="AB5" s="6" t="str">
        <f t="shared" ca="1" si="4"/>
        <v>OK</v>
      </c>
      <c r="AC5" s="6"/>
      <c r="AD5" s="7" t="s">
        <v>866</v>
      </c>
    </row>
    <row r="6" spans="1:30" x14ac:dyDescent="0.35">
      <c r="A6" s="6" t="s">
        <v>867</v>
      </c>
      <c r="B6" s="6" t="s">
        <v>868</v>
      </c>
      <c r="C6" s="9" t="s">
        <v>869</v>
      </c>
      <c r="D6" s="6"/>
      <c r="E6" s="9" t="s">
        <v>844</v>
      </c>
      <c r="F6" s="6"/>
      <c r="G6" s="9" t="s">
        <v>870</v>
      </c>
      <c r="H6" s="6" t="s">
        <v>294</v>
      </c>
      <c r="I6" s="6"/>
      <c r="J6" s="6"/>
      <c r="K6" s="6"/>
      <c r="L6" s="6"/>
      <c r="M6" s="6"/>
      <c r="N6" s="6"/>
      <c r="O6" s="6"/>
      <c r="P6" s="6" t="s">
        <v>59</v>
      </c>
      <c r="Q6" s="6" t="s">
        <v>60</v>
      </c>
      <c r="R6" s="6"/>
      <c r="S6" s="6"/>
      <c r="T6" s="6" t="str">
        <f ca="1">IF($C6="","",IF($V6="","No digits at all - enter a phone number",IF(NOT(SUMPRODUCT(--ISNUMBER(--MID($V6,ROW(INDIRECT("1:"&amp;LEN($V6))),1)))=LEN($V6)),"Digits only - no letters or symbols (+ ( ) - . and spaces are tolerated)",IF(LEN($V6)&lt;8,"Too short - "&amp;LEN($V6)&amp;" digits (min 8)",IF(LEN($V6)&gt;15,"Too long - "&amp;LEN($V6)&amp;" digits (max 15)",IF($H6="","WARNING: SIM_Country is empty - cannot check the country code",IF(ISNA(MATCH($H6,tblCountries[Name],0)),IF(ISNA(MATCH(TRIM(SUBSTITUTE($H6,CHAR(160)," ")),tblCountries[Name],0)),"WARNING: SIM_Country """&amp;$H6&amp;""" is not in tblCountries","WARNING: SIM_Country """&amp;$H6&amp;""" has stray spaces around it (usually from a paste) - retype it or pick it from the dropdown"),IF(LEFT($V6,LEN(TEXT(INDEX(tblCountries[DialCode],MATCH($H6,tblCountries[Name],0)),"0")))&lt;&gt;TEXT(INDEX(tblCountries[DialCode],MATCH($H6,tblCountries[Name],0)),"0"),"Wrong country code - must start with +"&amp;TEXT(INDEX(tblCountries[DialCode],MATCH($H6,tblCountries[Name],0)),"0")&amp;" for "&amp;$H6,"OK"))))))))</f>
        <v>OK</v>
      </c>
      <c r="U6" s="9" t="s">
        <v>846</v>
      </c>
      <c r="V6" s="11" t="str">
        <f t="shared" si="0"/>
        <v>33612345678</v>
      </c>
      <c r="W6" s="6" t="str">
        <f t="shared" ca="1" si="1"/>
        <v>OK</v>
      </c>
      <c r="X6" s="6" t="str">
        <f t="shared" ca="1" si="2"/>
        <v>OK</v>
      </c>
      <c r="Y6" s="6" t="str">
        <f t="shared" ca="1" si="3"/>
        <v>OK</v>
      </c>
      <c r="Z6" s="6" t="str">
        <f>IF($P6="","",IF(SUMPRODUCT(--EXACT($P6,Config!$G$2:$G$4))&gt;0,"OK",IF(NOT(ISNA(MATCH($P6,Config!$G$2:$G$4,0))),"WARNING: wrong capitalisation - should be """&amp;INDEX(Config!$G$2:$G$4,MATCH($P6,Config!$G$2:$G$4,0))&amp;""" exactly","Must be one of: Active, Deactivated, Suspended")))</f>
        <v>OK</v>
      </c>
      <c r="AA6" s="6" t="str">
        <f>IF($Q6="","",IF(SUMPRODUCT(--EXACT($Q6,Config!$H$2:$H$3))&gt;0,"OK",IF(NOT(ISNA(MATCH($Q6,Config!$H$2:$H$3,0))),"WARNING: wrong capitalisation - should be """&amp;INDEX(Config!$H$2:$H$3,MATCH($Q6,Config!$H$2:$H$3,0))&amp;""" exactly","Must be one of: eSIM, Physical SIM")))</f>
        <v>OK</v>
      </c>
      <c r="AB6" s="6" t="str">
        <f t="shared" ca="1" si="4"/>
        <v>OK</v>
      </c>
      <c r="AC6" s="6"/>
      <c r="AD6" s="7" t="s">
        <v>871</v>
      </c>
    </row>
    <row r="7" spans="1:30" x14ac:dyDescent="0.35">
      <c r="A7" s="6" t="s">
        <v>872</v>
      </c>
      <c r="B7" s="6" t="s">
        <v>873</v>
      </c>
      <c r="C7" s="9" t="s">
        <v>874</v>
      </c>
      <c r="D7" s="6"/>
      <c r="E7" s="9" t="s">
        <v>844</v>
      </c>
      <c r="F7" s="6"/>
      <c r="G7" s="9" t="s">
        <v>875</v>
      </c>
      <c r="H7" s="6" t="s">
        <v>537</v>
      </c>
      <c r="I7" s="6"/>
      <c r="J7" s="6"/>
      <c r="K7" s="6"/>
      <c r="L7" s="6"/>
      <c r="M7" s="6"/>
      <c r="N7" s="6"/>
      <c r="O7" s="6"/>
      <c r="P7" s="6" t="s">
        <v>59</v>
      </c>
      <c r="Q7" s="6" t="s">
        <v>65</v>
      </c>
      <c r="R7" s="6"/>
      <c r="S7" s="6"/>
      <c r="T7" s="6" t="str">
        <f ca="1">IF($C7="","",IF($V7="","No digits at all - enter a phone number",IF(NOT(SUMPRODUCT(--ISNUMBER(--MID($V7,ROW(INDIRECT("1:"&amp;LEN($V7))),1)))=LEN($V7)),"Digits only - no letters or symbols (+ ( ) - . and spaces are tolerated)",IF(LEN($V7)&lt;8,"Too short - "&amp;LEN($V7)&amp;" digits (min 8)",IF(LEN($V7)&gt;15,"Too long - "&amp;LEN($V7)&amp;" digits (max 15)",IF($H7="","WARNING: SIM_Country is empty - cannot check the country code",IF(ISNA(MATCH($H7,tblCountries[Name],0)),IF(ISNA(MATCH(TRIM(SUBSTITUTE($H7,CHAR(160)," ")),tblCountries[Name],0)),"WARNING: SIM_Country """&amp;$H7&amp;""" is not in tblCountries","WARNING: SIM_Country """&amp;$H7&amp;""" has stray spaces around it (usually from a paste) - retype it or pick it from the dropdown"),IF(LEFT($V7,LEN(TEXT(INDEX(tblCountries[DialCode],MATCH($H7,tblCountries[Name],0)),"0")))&lt;&gt;TEXT(INDEX(tblCountries[DialCode],MATCH($H7,tblCountries[Name],0)),"0"),"Wrong country code - must start with +"&amp;TEXT(INDEX(tblCountries[DialCode],MATCH($H7,tblCountries[Name],0)),"0")&amp;" for "&amp;$H7,"OK"))))))))</f>
        <v>OK</v>
      </c>
      <c r="U7" s="9" t="s">
        <v>853</v>
      </c>
      <c r="V7" s="11" t="str">
        <f t="shared" si="0"/>
        <v>31612345678</v>
      </c>
      <c r="W7" s="6" t="str">
        <f t="shared" ca="1" si="1"/>
        <v>OK</v>
      </c>
      <c r="X7" s="6" t="str">
        <f t="shared" ca="1" si="2"/>
        <v>OK</v>
      </c>
      <c r="Y7" s="6" t="str">
        <f t="shared" ca="1" si="3"/>
        <v>OK</v>
      </c>
      <c r="Z7" s="6" t="str">
        <f>IF($P7="","",IF(SUMPRODUCT(--EXACT($P7,Config!$G$2:$G$4))&gt;0,"OK",IF(NOT(ISNA(MATCH($P7,Config!$G$2:$G$4,0))),"WARNING: wrong capitalisation - should be """&amp;INDEX(Config!$G$2:$G$4,MATCH($P7,Config!$G$2:$G$4,0))&amp;""" exactly","Must be one of: Active, Deactivated, Suspended")))</f>
        <v>OK</v>
      </c>
      <c r="AA7" s="6" t="str">
        <f>IF($Q7="","",IF(SUMPRODUCT(--EXACT($Q7,Config!$H$2:$H$3))&gt;0,"OK",IF(NOT(ISNA(MATCH($Q7,Config!$H$2:$H$3,0))),"WARNING: wrong capitalisation - should be """&amp;INDEX(Config!$H$2:$H$3,MATCH($Q7,Config!$H$2:$H$3,0))&amp;""" exactly","Must be one of: eSIM, Physical SIM")))</f>
        <v>OK</v>
      </c>
      <c r="AB7" s="6" t="str">
        <f t="shared" ca="1" si="4"/>
        <v>OK</v>
      </c>
      <c r="AC7" s="6"/>
      <c r="AD7" s="7" t="s">
        <v>876</v>
      </c>
    </row>
    <row r="8" spans="1:30" x14ac:dyDescent="0.35">
      <c r="A8" s="6" t="s">
        <v>877</v>
      </c>
      <c r="B8" s="6" t="s">
        <v>878</v>
      </c>
      <c r="C8" s="9" t="s">
        <v>879</v>
      </c>
      <c r="D8" s="6"/>
      <c r="E8" s="9" t="s">
        <v>844</v>
      </c>
      <c r="F8" s="6"/>
      <c r="G8" s="9" t="s">
        <v>845</v>
      </c>
      <c r="H8" s="6" t="s">
        <v>396</v>
      </c>
      <c r="I8" s="6"/>
      <c r="J8" s="6"/>
      <c r="K8" s="6"/>
      <c r="L8" s="6"/>
      <c r="M8" s="6"/>
      <c r="N8" s="6"/>
      <c r="O8" s="6"/>
      <c r="P8" s="6" t="s">
        <v>59</v>
      </c>
      <c r="Q8" s="6" t="s">
        <v>60</v>
      </c>
      <c r="R8" s="6"/>
      <c r="S8" s="6"/>
      <c r="T8" s="6" t="str">
        <f ca="1">IF($C8="","",IF($V8="","No digits at all - enter a phone number",IF(NOT(SUMPRODUCT(--ISNUMBER(--MID($V8,ROW(INDIRECT("1:"&amp;LEN($V8))),1)))=LEN($V8)),"Digits only - no letters or symbols (+ ( ) - . and spaces are tolerated)",IF(LEN($V8)&lt;8,"Too short - "&amp;LEN($V8)&amp;" digits (min 8)",IF(LEN($V8)&gt;15,"Too long - "&amp;LEN($V8)&amp;" digits (max 15)",IF($H8="","WARNING: SIM_Country is empty - cannot check the country code",IF(ISNA(MATCH($H8,tblCountries[Name],0)),IF(ISNA(MATCH(TRIM(SUBSTITUTE($H8,CHAR(160)," ")),tblCountries[Name],0)),"WARNING: SIM_Country """&amp;$H8&amp;""" is not in tblCountries","WARNING: SIM_Country """&amp;$H8&amp;""" has stray spaces around it (usually from a paste) - retype it or pick it from the dropdown"),IF(LEFT($V8,LEN(TEXT(INDEX(tblCountries[DialCode],MATCH($H8,tblCountries[Name],0)),"0")))&lt;&gt;TEXT(INDEX(tblCountries[DialCode],MATCH($H8,tblCountries[Name],0)),"0"),"Wrong country code - must start with +"&amp;TEXT(INDEX(tblCountries[DialCode],MATCH($H8,tblCountries[Name],0)),"0")&amp;" for "&amp;$H8,"OK"))))))))</f>
        <v>Too short - 5 digits (min 8)</v>
      </c>
      <c r="U8" s="9" t="s">
        <v>846</v>
      </c>
      <c r="V8" s="11" t="str">
        <f t="shared" si="0"/>
        <v>39123</v>
      </c>
      <c r="W8" s="6" t="str">
        <f t="shared" ca="1" si="1"/>
        <v>OK</v>
      </c>
      <c r="X8" s="6" t="str">
        <f t="shared" ca="1" si="2"/>
        <v>OK</v>
      </c>
      <c r="Y8" s="6" t="str">
        <f t="shared" ca="1" si="3"/>
        <v>OK</v>
      </c>
      <c r="Z8" s="6" t="str">
        <f>IF($P8="","",IF(SUMPRODUCT(--EXACT($P8,Config!$G$2:$G$4))&gt;0,"OK",IF(NOT(ISNA(MATCH($P8,Config!$G$2:$G$4,0))),"WARNING: wrong capitalisation - should be """&amp;INDEX(Config!$G$2:$G$4,MATCH($P8,Config!$G$2:$G$4,0))&amp;""" exactly","Must be one of: Active, Deactivated, Suspended")))</f>
        <v>OK</v>
      </c>
      <c r="AA8" s="6" t="str">
        <f>IF($Q8="","",IF(SUMPRODUCT(--EXACT($Q8,Config!$H$2:$H$3))&gt;0,"OK",IF(NOT(ISNA(MATCH($Q8,Config!$H$2:$H$3,0))),"WARNING: wrong capitalisation - should be """&amp;INDEX(Config!$H$2:$H$3,MATCH($Q8,Config!$H$2:$H$3,0))&amp;""" exactly","Must be one of: eSIM, Physical SIM")))</f>
        <v>OK</v>
      </c>
      <c r="AB8" s="6" t="str">
        <f t="shared" ca="1" si="4"/>
        <v>PhoneNr: Too short - 5 digits (min 8)</v>
      </c>
      <c r="AC8" s="6"/>
      <c r="AD8" s="7" t="s">
        <v>880</v>
      </c>
    </row>
    <row r="9" spans="1:30" x14ac:dyDescent="0.35">
      <c r="A9" s="6" t="s">
        <v>881</v>
      </c>
      <c r="B9" s="6" t="s">
        <v>882</v>
      </c>
      <c r="C9" s="9" t="s">
        <v>883</v>
      </c>
      <c r="D9" s="6"/>
      <c r="E9" s="9" t="s">
        <v>844</v>
      </c>
      <c r="F9" s="6"/>
      <c r="G9" s="9" t="s">
        <v>845</v>
      </c>
      <c r="H9" s="6" t="s">
        <v>696</v>
      </c>
      <c r="I9" s="6"/>
      <c r="J9" s="6"/>
      <c r="K9" s="6"/>
      <c r="L9" s="6"/>
      <c r="M9" s="6"/>
      <c r="N9" s="6"/>
      <c r="O9" s="6"/>
      <c r="P9" s="6" t="s">
        <v>59</v>
      </c>
      <c r="Q9" s="6" t="s">
        <v>60</v>
      </c>
      <c r="R9" s="6"/>
      <c r="S9" s="6"/>
      <c r="T9" s="6" t="str">
        <f ca="1">IF($C9="","",IF($V9="","No digits at all - enter a phone number",IF(NOT(SUMPRODUCT(--ISNUMBER(--MID($V9,ROW(INDIRECT("1:"&amp;LEN($V9))),1)))=LEN($V9)),"Digits only - no letters or symbols (+ ( ) - . and spaces are tolerated)",IF(LEN($V9)&lt;8,"Too short - "&amp;LEN($V9)&amp;" digits (min 8)",IF(LEN($V9)&gt;15,"Too long - "&amp;LEN($V9)&amp;" digits (max 15)",IF($H9="","WARNING: SIM_Country is empty - cannot check the country code",IF(ISNA(MATCH($H9,tblCountries[Name],0)),IF(ISNA(MATCH(TRIM(SUBSTITUTE($H9,CHAR(160)," ")),tblCountries[Name],0)),"WARNING: SIM_Country """&amp;$H9&amp;""" is not in tblCountries","WARNING: SIM_Country """&amp;$H9&amp;""" has stray spaces around it (usually from a paste) - retype it or pick it from the dropdown"),IF(LEFT($V9,LEN(TEXT(INDEX(tblCountries[DialCode],MATCH($H9,tblCountries[Name],0)),"0")))&lt;&gt;TEXT(INDEX(tblCountries[DialCode],MATCH($H9,tblCountries[Name],0)),"0"),"Wrong country code - must start with +"&amp;TEXT(INDEX(tblCountries[DialCode],MATCH($H9,tblCountries[Name],0)),"0")&amp;" for "&amp;$H9,"OK"))))))))</f>
        <v>Too long - 17 digits (max 15)</v>
      </c>
      <c r="U9" s="9" t="s">
        <v>846</v>
      </c>
      <c r="V9" s="11" t="str">
        <f t="shared" si="0"/>
        <v>34123456789012345</v>
      </c>
      <c r="W9" s="6" t="str">
        <f t="shared" ca="1" si="1"/>
        <v>OK</v>
      </c>
      <c r="X9" s="6" t="str">
        <f t="shared" ca="1" si="2"/>
        <v>OK</v>
      </c>
      <c r="Y9" s="6" t="str">
        <f t="shared" ca="1" si="3"/>
        <v>OK</v>
      </c>
      <c r="Z9" s="6" t="str">
        <f>IF($P9="","",IF(SUMPRODUCT(--EXACT($P9,Config!$G$2:$G$4))&gt;0,"OK",IF(NOT(ISNA(MATCH($P9,Config!$G$2:$G$4,0))),"WARNING: wrong capitalisation - should be """&amp;INDEX(Config!$G$2:$G$4,MATCH($P9,Config!$G$2:$G$4,0))&amp;""" exactly","Must be one of: Active, Deactivated, Suspended")))</f>
        <v>OK</v>
      </c>
      <c r="AA9" s="6" t="str">
        <f>IF($Q9="","",IF(SUMPRODUCT(--EXACT($Q9,Config!$H$2:$H$3))&gt;0,"OK",IF(NOT(ISNA(MATCH($Q9,Config!$H$2:$H$3,0))),"WARNING: wrong capitalisation - should be """&amp;INDEX(Config!$H$2:$H$3,MATCH($Q9,Config!$H$2:$H$3,0))&amp;""" exactly","Must be one of: eSIM, Physical SIM")))</f>
        <v>OK</v>
      </c>
      <c r="AB9" s="6" t="str">
        <f t="shared" ca="1" si="4"/>
        <v>PhoneNr: Too long - 17 digits (max 15)</v>
      </c>
      <c r="AC9" s="6"/>
      <c r="AD9" s="7" t="s">
        <v>884</v>
      </c>
    </row>
    <row r="10" spans="1:30" x14ac:dyDescent="0.35">
      <c r="A10" s="6" t="s">
        <v>885</v>
      </c>
      <c r="B10" s="6" t="s">
        <v>886</v>
      </c>
      <c r="C10" s="9" t="s">
        <v>887</v>
      </c>
      <c r="D10" s="6"/>
      <c r="E10" s="9" t="s">
        <v>844</v>
      </c>
      <c r="F10" s="6"/>
      <c r="G10" s="9" t="s">
        <v>845</v>
      </c>
      <c r="H10" s="6" t="s">
        <v>771</v>
      </c>
      <c r="I10" s="6"/>
      <c r="J10" s="6"/>
      <c r="K10" s="6"/>
      <c r="L10" s="6"/>
      <c r="M10" s="6"/>
      <c r="N10" s="6"/>
      <c r="O10" s="6"/>
      <c r="P10" s="6" t="s">
        <v>59</v>
      </c>
      <c r="Q10" s="6" t="s">
        <v>60</v>
      </c>
      <c r="R10" s="6"/>
      <c r="S10" s="6"/>
      <c r="T10" s="6" t="str">
        <f ca="1">IF($C10="","",IF($V10="","No digits at all - enter a phone number",IF(NOT(SUMPRODUCT(--ISNUMBER(--MID($V10,ROW(INDIRECT("1:"&amp;LEN($V10))),1)))=LEN($V10)),"Digits only - no letters or symbols (+ ( ) - . and spaces are tolerated)",IF(LEN($V10)&lt;8,"Too short - "&amp;LEN($V10)&amp;" digits (min 8)",IF(LEN($V10)&gt;15,"Too long - "&amp;LEN($V10)&amp;" digits (max 15)",IF($H10="","WARNING: SIM_Country is empty - cannot check the country code",IF(ISNA(MATCH($H10,tblCountries[Name],0)),IF(ISNA(MATCH(TRIM(SUBSTITUTE($H10,CHAR(160)," ")),tblCountries[Name],0)),"WARNING: SIM_Country """&amp;$H10&amp;""" is not in tblCountries","WARNING: SIM_Country """&amp;$H10&amp;""" has stray spaces around it (usually from a paste) - retype it or pick it from the dropdown"),IF(LEFT($V10,LEN(TEXT(INDEX(tblCountries[DialCode],MATCH($H10,tblCountries[Name],0)),"0")))&lt;&gt;TEXT(INDEX(tblCountries[DialCode],MATCH($H10,tblCountries[Name],0)),"0"),"Wrong country code - must start with +"&amp;TEXT(INDEX(tblCountries[DialCode],MATCH($H10,tblCountries[Name],0)),"0")&amp;" for "&amp;$H10,"OK"))))))))</f>
        <v>Digits only - no letters or symbols (+ ( ) - . and spaces are tolerated)</v>
      </c>
      <c r="U10" s="9" t="s">
        <v>846</v>
      </c>
      <c r="V10" s="11" t="str">
        <f t="shared" si="0"/>
        <v>44ABC12345</v>
      </c>
      <c r="W10" s="6" t="str">
        <f t="shared" ca="1" si="1"/>
        <v>OK</v>
      </c>
      <c r="X10" s="6" t="str">
        <f t="shared" ca="1" si="2"/>
        <v>OK</v>
      </c>
      <c r="Y10" s="6" t="str">
        <f t="shared" ca="1" si="3"/>
        <v>OK</v>
      </c>
      <c r="Z10" s="6" t="str">
        <f>IF($P10="","",IF(SUMPRODUCT(--EXACT($P10,Config!$G$2:$G$4))&gt;0,"OK",IF(NOT(ISNA(MATCH($P10,Config!$G$2:$G$4,0))),"WARNING: wrong capitalisation - should be """&amp;INDEX(Config!$G$2:$G$4,MATCH($P10,Config!$G$2:$G$4,0))&amp;""" exactly","Must be one of: Active, Deactivated, Suspended")))</f>
        <v>OK</v>
      </c>
      <c r="AA10" s="6" t="str">
        <f>IF($Q10="","",IF(SUMPRODUCT(--EXACT($Q10,Config!$H$2:$H$3))&gt;0,"OK",IF(NOT(ISNA(MATCH($Q10,Config!$H$2:$H$3,0))),"WARNING: wrong capitalisation - should be """&amp;INDEX(Config!$H$2:$H$3,MATCH($Q10,Config!$H$2:$H$3,0))&amp;""" exactly","Must be one of: eSIM, Physical SIM")))</f>
        <v>OK</v>
      </c>
      <c r="AB10" s="6" t="str">
        <f t="shared" ca="1" si="4"/>
        <v>PhoneNr: Digits only - no letters or symbols (+ ( ) - . and spaces are tolerated)</v>
      </c>
      <c r="AC10" s="6"/>
      <c r="AD10" s="7" t="s">
        <v>888</v>
      </c>
    </row>
    <row r="11" spans="1:30" x14ac:dyDescent="0.35">
      <c r="A11" s="6" t="s">
        <v>889</v>
      </c>
      <c r="B11" s="6" t="s">
        <v>890</v>
      </c>
      <c r="C11" s="9" t="s">
        <v>843</v>
      </c>
      <c r="D11" s="6"/>
      <c r="E11" s="9" t="s">
        <v>844</v>
      </c>
      <c r="F11" s="6"/>
      <c r="G11" s="9" t="s">
        <v>845</v>
      </c>
      <c r="H11" s="6" t="s">
        <v>600</v>
      </c>
      <c r="I11" s="6"/>
      <c r="J11" s="6"/>
      <c r="K11" s="6"/>
      <c r="L11" s="6"/>
      <c r="M11" s="6"/>
      <c r="N11" s="6"/>
      <c r="O11" s="6"/>
      <c r="P11" s="6" t="s">
        <v>59</v>
      </c>
      <c r="Q11" s="6" t="s">
        <v>60</v>
      </c>
      <c r="R11" s="6"/>
      <c r="S11" s="6"/>
      <c r="T11" s="6" t="str">
        <f ca="1">IF($C11="","",IF($V11="","No digits at all - enter a phone number",IF(NOT(SUMPRODUCT(--ISNUMBER(--MID($V11,ROW(INDIRECT("1:"&amp;LEN($V11))),1)))=LEN($V11)),"Digits only - no letters or symbols (+ ( ) - . and spaces are tolerated)",IF(LEN($V11)&lt;8,"Too short - "&amp;LEN($V11)&amp;" digits (min 8)",IF(LEN($V11)&gt;15,"Too long - "&amp;LEN($V11)&amp;" digits (max 15)",IF($H11="","WARNING: SIM_Country is empty - cannot check the country code",IF(ISNA(MATCH($H11,tblCountries[Name],0)),IF(ISNA(MATCH(TRIM(SUBSTITUTE($H11,CHAR(160)," ")),tblCountries[Name],0)),"WARNING: SIM_Country """&amp;$H11&amp;""" is not in tblCountries","WARNING: SIM_Country """&amp;$H11&amp;""" has stray spaces around it (usually from a paste) - retype it or pick it from the dropdown"),IF(LEFT($V11,LEN(TEXT(INDEX(tblCountries[DialCode],MATCH($H11,tblCountries[Name],0)),"0")))&lt;&gt;TEXT(INDEX(tblCountries[DialCode],MATCH($H11,tblCountries[Name],0)),"0"),"Wrong country code - must start with +"&amp;TEXT(INDEX(tblCountries[DialCode],MATCH($H11,tblCountries[Name],0)),"0")&amp;" for "&amp;$H11,"OK"))))))))</f>
        <v>Wrong country code - must start with +48 for Poland</v>
      </c>
      <c r="U11" s="9" t="s">
        <v>846</v>
      </c>
      <c r="V11" s="11" t="str">
        <f t="shared" si="0"/>
        <v>40712345678</v>
      </c>
      <c r="W11" s="6" t="str">
        <f t="shared" ca="1" si="1"/>
        <v>OK</v>
      </c>
      <c r="X11" s="6" t="str">
        <f t="shared" ca="1" si="2"/>
        <v>OK</v>
      </c>
      <c r="Y11" s="6" t="str">
        <f t="shared" ca="1" si="3"/>
        <v>OK</v>
      </c>
      <c r="Z11" s="6" t="str">
        <f>IF($P11="","",IF(SUMPRODUCT(--EXACT($P11,Config!$G$2:$G$4))&gt;0,"OK",IF(NOT(ISNA(MATCH($P11,Config!$G$2:$G$4,0))),"WARNING: wrong capitalisation - should be """&amp;INDEX(Config!$G$2:$G$4,MATCH($P11,Config!$G$2:$G$4,0))&amp;""" exactly","Must be one of: Active, Deactivated, Suspended")))</f>
        <v>OK</v>
      </c>
      <c r="AA11" s="6" t="str">
        <f>IF($Q11="","",IF(SUMPRODUCT(--EXACT($Q11,Config!$H$2:$H$3))&gt;0,"OK",IF(NOT(ISNA(MATCH($Q11,Config!$H$2:$H$3,0))),"WARNING: wrong capitalisation - should be """&amp;INDEX(Config!$H$2:$H$3,MATCH($Q11,Config!$H$2:$H$3,0))&amp;""" exactly","Must be one of: eSIM, Physical SIM")))</f>
        <v>OK</v>
      </c>
      <c r="AB11" s="6" t="str">
        <f t="shared" ca="1" si="4"/>
        <v>PhoneNr: Wrong country code - must start with +48 for Poland</v>
      </c>
      <c r="AC11" s="6"/>
      <c r="AD11" s="7" t="s">
        <v>891</v>
      </c>
    </row>
    <row r="12" spans="1:30" x14ac:dyDescent="0.35">
      <c r="A12" s="6" t="s">
        <v>892</v>
      </c>
      <c r="B12" s="6" t="s">
        <v>893</v>
      </c>
      <c r="C12" s="9" t="s">
        <v>843</v>
      </c>
      <c r="D12" s="6"/>
      <c r="E12" s="9" t="s">
        <v>844</v>
      </c>
      <c r="F12" s="6"/>
      <c r="G12" s="9" t="s">
        <v>845</v>
      </c>
      <c r="H12" s="6" t="s">
        <v>894</v>
      </c>
      <c r="I12" s="6"/>
      <c r="J12" s="6"/>
      <c r="K12" s="6"/>
      <c r="L12" s="6"/>
      <c r="M12" s="6"/>
      <c r="N12" s="6"/>
      <c r="O12" s="6"/>
      <c r="P12" s="6" t="s">
        <v>59</v>
      </c>
      <c r="Q12" s="6" t="s">
        <v>60</v>
      </c>
      <c r="R12" s="6"/>
      <c r="S12" s="6"/>
      <c r="T12" s="6" t="str">
        <f ca="1">IF($C12="","",IF($V12="","No digits at all - enter a phone number",IF(NOT(SUMPRODUCT(--ISNUMBER(--MID($V12,ROW(INDIRECT("1:"&amp;LEN($V12))),1)))=LEN($V12)),"Digits only - no letters or symbols (+ ( ) - . and spaces are tolerated)",IF(LEN($V12)&lt;8,"Too short - "&amp;LEN($V12)&amp;" digits (min 8)",IF(LEN($V12)&gt;15,"Too long - "&amp;LEN($V12)&amp;" digits (max 15)",IF($H12="","WARNING: SIM_Country is empty - cannot check the country code",IF(ISNA(MATCH($H12,tblCountries[Name],0)),IF(ISNA(MATCH(TRIM(SUBSTITUTE($H12,CHAR(160)," ")),tblCountries[Name],0)),"WARNING: SIM_Country """&amp;$H12&amp;""" is not in tblCountries","WARNING: SIM_Country """&amp;$H12&amp;""" has stray spaces around it (usually from a paste) - retype it or pick it from the dropdown"),IF(LEFT($V12,LEN(TEXT(INDEX(tblCountries[DialCode],MATCH($H12,tblCountries[Name],0)),"0")))&lt;&gt;TEXT(INDEX(tblCountries[DialCode],MATCH($H12,tblCountries[Name],0)),"0"),"Wrong country code - must start with +"&amp;TEXT(INDEX(tblCountries[DialCode],MATCH($H12,tblCountries[Name],0)),"0")&amp;" for "&amp;$H12,"OK"))))))))</f>
        <v>WARNING: SIM_Country "Wakanda" is not in tblCountries</v>
      </c>
      <c r="U12" s="9" t="s">
        <v>846</v>
      </c>
      <c r="V12" s="11" t="str">
        <f t="shared" si="0"/>
        <v>40712345678</v>
      </c>
      <c r="W12" s="6" t="str">
        <f t="shared" ca="1" si="1"/>
        <v>OK</v>
      </c>
      <c r="X12" s="6" t="str">
        <f t="shared" ca="1" si="2"/>
        <v>OK</v>
      </c>
      <c r="Y12" s="6" t="str">
        <f t="shared" ca="1" si="3"/>
        <v>OK</v>
      </c>
      <c r="Z12" s="6" t="str">
        <f>IF($P12="","",IF(SUMPRODUCT(--EXACT($P12,Config!$G$2:$G$4))&gt;0,"OK",IF(NOT(ISNA(MATCH($P12,Config!$G$2:$G$4,0))),"WARNING: wrong capitalisation - should be """&amp;INDEX(Config!$G$2:$G$4,MATCH($P12,Config!$G$2:$G$4,0))&amp;""" exactly","Must be one of: Active, Deactivated, Suspended")))</f>
        <v>OK</v>
      </c>
      <c r="AA12" s="6" t="str">
        <f>IF($Q12="","",IF(SUMPRODUCT(--EXACT($Q12,Config!$H$2:$H$3))&gt;0,"OK",IF(NOT(ISNA(MATCH($Q12,Config!$H$2:$H$3,0))),"WARNING: wrong capitalisation - should be """&amp;INDEX(Config!$H$2:$H$3,MATCH($Q12,Config!$H$2:$H$3,0))&amp;""" exactly","Must be one of: eSIM, Physical SIM")))</f>
        <v>OK</v>
      </c>
      <c r="AB12" s="6" t="str">
        <f t="shared" ca="1" si="4"/>
        <v>PhoneNr: WARNING: SIM_Country "Wakanda" is not in tblCountries</v>
      </c>
      <c r="AC12" s="6"/>
      <c r="AD12" s="7" t="s">
        <v>895</v>
      </c>
    </row>
    <row r="13" spans="1:30" x14ac:dyDescent="0.35">
      <c r="A13" s="6" t="s">
        <v>896</v>
      </c>
      <c r="B13" s="6" t="s">
        <v>897</v>
      </c>
      <c r="C13" s="9" t="s">
        <v>898</v>
      </c>
      <c r="D13" s="6"/>
      <c r="E13" s="9" t="s">
        <v>844</v>
      </c>
      <c r="F13" s="6"/>
      <c r="G13" s="9" t="s">
        <v>845</v>
      </c>
      <c r="H13" s="6"/>
      <c r="I13" s="6"/>
      <c r="J13" s="6"/>
      <c r="K13" s="6"/>
      <c r="L13" s="6"/>
      <c r="M13" s="6"/>
      <c r="N13" s="6"/>
      <c r="O13" s="6"/>
      <c r="P13" s="6" t="s">
        <v>59</v>
      </c>
      <c r="Q13" s="6" t="s">
        <v>60</v>
      </c>
      <c r="R13" s="6"/>
      <c r="S13" s="6"/>
      <c r="T13" s="6" t="str">
        <f ca="1">IF($C13="","",IF($V13="","No digits at all - enter a phone number",IF(NOT(SUMPRODUCT(--ISNUMBER(--MID($V13,ROW(INDIRECT("1:"&amp;LEN($V13))),1)))=LEN($V13)),"Digits only - no letters or symbols (+ ( ) - . and spaces are tolerated)",IF(LEN($V13)&lt;8,"Too short - "&amp;LEN($V13)&amp;" digits (min 8)",IF(LEN($V13)&gt;15,"Too long - "&amp;LEN($V13)&amp;" digits (max 15)",IF($H13="","WARNING: SIM_Country is empty - cannot check the country code",IF(ISNA(MATCH($H13,tblCountries[Name],0)),IF(ISNA(MATCH(TRIM(SUBSTITUTE($H13,CHAR(160)," ")),tblCountries[Name],0)),"WARNING: SIM_Country """&amp;$H13&amp;""" is not in tblCountries","WARNING: SIM_Country """&amp;$H13&amp;""" has stray spaces around it (usually from a paste) - retype it or pick it from the dropdown"),IF(LEFT($V13,LEN(TEXT(INDEX(tblCountries[DialCode],MATCH($H13,tblCountries[Name],0)),"0")))&lt;&gt;TEXT(INDEX(tblCountries[DialCode],MATCH($H13,tblCountries[Name],0)),"0"),"Wrong country code - must start with +"&amp;TEXT(INDEX(tblCountries[DialCode],MATCH($H13,tblCountries[Name],0)),"0")&amp;" for "&amp;$H13,"OK"))))))))</f>
        <v>WARNING: SIM_Country is empty - cannot check the country code</v>
      </c>
      <c r="U13" s="9" t="s">
        <v>846</v>
      </c>
      <c r="V13" s="11" t="str">
        <f t="shared" si="0"/>
        <v>421912345678</v>
      </c>
      <c r="W13" s="6" t="str">
        <f t="shared" ca="1" si="1"/>
        <v>OK</v>
      </c>
      <c r="X13" s="6" t="str">
        <f t="shared" ca="1" si="2"/>
        <v>OK</v>
      </c>
      <c r="Y13" s="6" t="str">
        <f t="shared" ca="1" si="3"/>
        <v>OK</v>
      </c>
      <c r="Z13" s="6" t="str">
        <f>IF($P13="","",IF(SUMPRODUCT(--EXACT($P13,Config!$G$2:$G$4))&gt;0,"OK",IF(NOT(ISNA(MATCH($P13,Config!$G$2:$G$4,0))),"WARNING: wrong capitalisation - should be """&amp;INDEX(Config!$G$2:$G$4,MATCH($P13,Config!$G$2:$G$4,0))&amp;""" exactly","Must be one of: Active, Deactivated, Suspended")))</f>
        <v>OK</v>
      </c>
      <c r="AA13" s="6" t="str">
        <f>IF($Q13="","",IF(SUMPRODUCT(--EXACT($Q13,Config!$H$2:$H$3))&gt;0,"OK",IF(NOT(ISNA(MATCH($Q13,Config!$H$2:$H$3,0))),"WARNING: wrong capitalisation - should be """&amp;INDEX(Config!$H$2:$H$3,MATCH($Q13,Config!$H$2:$H$3,0))&amp;""" exactly","Must be one of: eSIM, Physical SIM")))</f>
        <v>OK</v>
      </c>
      <c r="AB13" s="6" t="str">
        <f t="shared" ca="1" si="4"/>
        <v>PhoneNr: WARNING: SIM_Country is empty - cannot check the country code</v>
      </c>
      <c r="AC13" s="6"/>
      <c r="AD13" s="7" t="s">
        <v>899</v>
      </c>
    </row>
    <row r="14" spans="1:30" x14ac:dyDescent="0.35">
      <c r="A14" s="6" t="s">
        <v>900</v>
      </c>
      <c r="B14" s="6" t="s">
        <v>901</v>
      </c>
      <c r="C14" s="9" t="s">
        <v>902</v>
      </c>
      <c r="D14" s="6"/>
      <c r="E14" s="9" t="s">
        <v>844</v>
      </c>
      <c r="F14" s="6"/>
      <c r="G14" s="9" t="s">
        <v>845</v>
      </c>
      <c r="H14" s="6" t="s">
        <v>774</v>
      </c>
      <c r="I14" s="6"/>
      <c r="J14" s="6"/>
      <c r="K14" s="6"/>
      <c r="L14" s="6"/>
      <c r="M14" s="6"/>
      <c r="N14" s="6"/>
      <c r="O14" s="6"/>
      <c r="P14" s="6" t="s">
        <v>59</v>
      </c>
      <c r="Q14" s="6" t="s">
        <v>60</v>
      </c>
      <c r="R14" s="6"/>
      <c r="S14" s="6"/>
      <c r="T14" s="6" t="str">
        <f ca="1">IF($C14="","",IF($V14="","No digits at all - enter a phone number",IF(NOT(SUMPRODUCT(--ISNUMBER(--MID($V14,ROW(INDIRECT("1:"&amp;LEN($V14))),1)))=LEN($V14)),"Digits only - no letters or symbols (+ ( ) - . and spaces are tolerated)",IF(LEN($V14)&lt;8,"Too short - "&amp;LEN($V14)&amp;" digits (min 8)",IF(LEN($V14)&gt;15,"Too long - "&amp;LEN($V14)&amp;" digits (max 15)",IF($H14="","WARNING: SIM_Country is empty - cannot check the country code",IF(ISNA(MATCH($H14,tblCountries[Name],0)),IF(ISNA(MATCH(TRIM(SUBSTITUTE($H14,CHAR(160)," ")),tblCountries[Name],0)),"WARNING: SIM_Country """&amp;$H14&amp;""" is not in tblCountries","WARNING: SIM_Country """&amp;$H14&amp;""" has stray spaces around it (usually from a paste) - retype it or pick it from the dropdown"),IF(LEFT($V14,LEN(TEXT(INDEX(tblCountries[DialCode],MATCH($H14,tblCountries[Name],0)),"0")))&lt;&gt;TEXT(INDEX(tblCountries[DialCode],MATCH($H14,tblCountries[Name],0)),"0"),"Wrong country code - must start with +"&amp;TEXT(INDEX(tblCountries[DialCode],MATCH($H14,tblCountries[Name],0)),"0")&amp;" for "&amp;$H14,"OK"))))))))</f>
        <v>OK</v>
      </c>
      <c r="U14" s="9" t="s">
        <v>846</v>
      </c>
      <c r="V14" s="11" t="str">
        <f t="shared" si="0"/>
        <v>12025550143</v>
      </c>
      <c r="W14" s="6" t="str">
        <f t="shared" ca="1" si="1"/>
        <v>OK</v>
      </c>
      <c r="X14" s="6" t="str">
        <f t="shared" ca="1" si="2"/>
        <v>OK</v>
      </c>
      <c r="Y14" s="6" t="str">
        <f t="shared" ca="1" si="3"/>
        <v>OK</v>
      </c>
      <c r="Z14" s="6" t="str">
        <f>IF($P14="","",IF(SUMPRODUCT(--EXACT($P14,Config!$G$2:$G$4))&gt;0,"OK",IF(NOT(ISNA(MATCH($P14,Config!$G$2:$G$4,0))),"WARNING: wrong capitalisation - should be """&amp;INDEX(Config!$G$2:$G$4,MATCH($P14,Config!$G$2:$G$4,0))&amp;""" exactly","Must be one of: Active, Deactivated, Suspended")))</f>
        <v>OK</v>
      </c>
      <c r="AA14" s="6" t="str">
        <f>IF($Q14="","",IF(SUMPRODUCT(--EXACT($Q14,Config!$H$2:$H$3))&gt;0,"OK",IF(NOT(ISNA(MATCH($Q14,Config!$H$2:$H$3,0))),"WARNING: wrong capitalisation - should be """&amp;INDEX(Config!$H$2:$H$3,MATCH($Q14,Config!$H$2:$H$3,0))&amp;""" exactly","Must be one of: eSIM, Physical SIM")))</f>
        <v>OK</v>
      </c>
      <c r="AB14" s="6" t="str">
        <f t="shared" ca="1" si="4"/>
        <v>OK</v>
      </c>
      <c r="AC14" s="6"/>
      <c r="AD14" s="7" t="s">
        <v>903</v>
      </c>
    </row>
    <row r="15" spans="1:30" x14ac:dyDescent="0.35">
      <c r="A15" s="6" t="s">
        <v>904</v>
      </c>
      <c r="B15" s="6" t="s">
        <v>905</v>
      </c>
      <c r="C15" s="9" t="s">
        <v>906</v>
      </c>
      <c r="D15" s="6"/>
      <c r="E15" s="9" t="s">
        <v>844</v>
      </c>
      <c r="F15" s="6"/>
      <c r="G15" s="9" t="s">
        <v>845</v>
      </c>
      <c r="H15" s="6" t="s">
        <v>402</v>
      </c>
      <c r="I15" s="6"/>
      <c r="J15" s="6"/>
      <c r="K15" s="6"/>
      <c r="L15" s="6"/>
      <c r="M15" s="6"/>
      <c r="N15" s="6"/>
      <c r="O15" s="6"/>
      <c r="P15" s="6" t="s">
        <v>59</v>
      </c>
      <c r="Q15" s="6" t="s">
        <v>60</v>
      </c>
      <c r="R15" s="6"/>
      <c r="S15" s="6"/>
      <c r="T15" s="6" t="str">
        <f ca="1">IF($C15="","",IF($V15="","No digits at all - enter a phone number",IF(NOT(SUMPRODUCT(--ISNUMBER(--MID($V15,ROW(INDIRECT("1:"&amp;LEN($V15))),1)))=LEN($V15)),"Digits only - no letters or symbols (+ ( ) - . and spaces are tolerated)",IF(LEN($V15)&lt;8,"Too short - "&amp;LEN($V15)&amp;" digits (min 8)",IF(LEN($V15)&gt;15,"Too long - "&amp;LEN($V15)&amp;" digits (max 15)",IF($H15="","WARNING: SIM_Country is empty - cannot check the country code",IF(ISNA(MATCH($H15,tblCountries[Name],0)),IF(ISNA(MATCH(TRIM(SUBSTITUTE($H15,CHAR(160)," ")),tblCountries[Name],0)),"WARNING: SIM_Country """&amp;$H15&amp;""" is not in tblCountries","WARNING: SIM_Country """&amp;$H15&amp;""" has stray spaces around it (usually from a paste) - retype it or pick it from the dropdown"),IF(LEFT($V15,LEN(TEXT(INDEX(tblCountries[DialCode],MATCH($H15,tblCountries[Name],0)),"0")))&lt;&gt;TEXT(INDEX(tblCountries[DialCode],MATCH($H15,tblCountries[Name],0)),"0"),"Wrong country code - must start with +"&amp;TEXT(INDEX(tblCountries[DialCode],MATCH($H15,tblCountries[Name],0)),"0")&amp;" for "&amp;$H15,"OK"))))))))</f>
        <v>OK</v>
      </c>
      <c r="U15" s="9" t="s">
        <v>846</v>
      </c>
      <c r="V15" s="11" t="str">
        <f t="shared" si="0"/>
        <v>819012345678</v>
      </c>
      <c r="W15" s="6" t="str">
        <f t="shared" ca="1" si="1"/>
        <v>OK</v>
      </c>
      <c r="X15" s="6" t="str">
        <f t="shared" ca="1" si="2"/>
        <v>OK</v>
      </c>
      <c r="Y15" s="6" t="str">
        <f t="shared" ca="1" si="3"/>
        <v>OK</v>
      </c>
      <c r="Z15" s="6" t="str">
        <f>IF($P15="","",IF(SUMPRODUCT(--EXACT($P15,Config!$G$2:$G$4))&gt;0,"OK",IF(NOT(ISNA(MATCH($P15,Config!$G$2:$G$4,0))),"WARNING: wrong capitalisation - should be """&amp;INDEX(Config!$G$2:$G$4,MATCH($P15,Config!$G$2:$G$4,0))&amp;""" exactly","Must be one of: Active, Deactivated, Suspended")))</f>
        <v>OK</v>
      </c>
      <c r="AA15" s="6" t="str">
        <f>IF($Q15="","",IF(SUMPRODUCT(--EXACT($Q15,Config!$H$2:$H$3))&gt;0,"OK",IF(NOT(ISNA(MATCH($Q15,Config!$H$2:$H$3,0))),"WARNING: wrong capitalisation - should be """&amp;INDEX(Config!$H$2:$H$3,MATCH($Q15,Config!$H$2:$H$3,0))&amp;""" exactly","Must be one of: eSIM, Physical SIM")))</f>
        <v>OK</v>
      </c>
      <c r="AB15" s="6" t="str">
        <f t="shared" ca="1" si="4"/>
        <v>OK</v>
      </c>
      <c r="AC15" s="6"/>
      <c r="AD15" s="7" t="s">
        <v>907</v>
      </c>
    </row>
    <row r="16" spans="1:30" x14ac:dyDescent="0.35">
      <c r="A16" s="6" t="s">
        <v>908</v>
      </c>
      <c r="B16" s="6" t="s">
        <v>909</v>
      </c>
      <c r="C16" s="9" t="s">
        <v>910</v>
      </c>
      <c r="D16" s="6"/>
      <c r="E16" s="9" t="s">
        <v>844</v>
      </c>
      <c r="F16" s="6"/>
      <c r="G16" s="9" t="s">
        <v>845</v>
      </c>
      <c r="H16" s="6" t="s">
        <v>567</v>
      </c>
      <c r="I16" s="6"/>
      <c r="J16" s="6"/>
      <c r="K16" s="6"/>
      <c r="L16" s="6"/>
      <c r="M16" s="6"/>
      <c r="N16" s="6"/>
      <c r="O16" s="6"/>
      <c r="P16" s="6" t="s">
        <v>59</v>
      </c>
      <c r="Q16" s="6" t="s">
        <v>60</v>
      </c>
      <c r="R16" s="6"/>
      <c r="S16" s="6"/>
      <c r="T16" s="6" t="str">
        <f ca="1">IF($C16="","",IF($V16="","No digits at all - enter a phone number",IF(NOT(SUMPRODUCT(--ISNUMBER(--MID($V16,ROW(INDIRECT("1:"&amp;LEN($V16))),1)))=LEN($V16)),"Digits only - no letters or symbols (+ ( ) - . and spaces are tolerated)",IF(LEN($V16)&lt;8,"Too short - "&amp;LEN($V16)&amp;" digits (min 8)",IF(LEN($V16)&gt;15,"Too long - "&amp;LEN($V16)&amp;" digits (max 15)",IF($H16="","WARNING: SIM_Country is empty - cannot check the country code",IF(ISNA(MATCH($H16,tblCountries[Name],0)),IF(ISNA(MATCH(TRIM(SUBSTITUTE($H16,CHAR(160)," ")),tblCountries[Name],0)),"WARNING: SIM_Country """&amp;$H16&amp;""" is not in tblCountries","WARNING: SIM_Country """&amp;$H16&amp;""" has stray spaces around it (usually from a paste) - retype it or pick it from the dropdown"),IF(LEFT($V16,LEN(TEXT(INDEX(tblCountries[DialCode],MATCH($H16,tblCountries[Name],0)),"0")))&lt;&gt;TEXT(INDEX(tblCountries[DialCode],MATCH($H16,tblCountries[Name],0)),"0"),"Wrong country code - must start with +"&amp;TEXT(INDEX(tblCountries[DialCode],MATCH($H16,tblCountries[Name],0)),"0")&amp;" for "&amp;$H16,"OK"))))))))</f>
        <v>OK</v>
      </c>
      <c r="U16" s="9" t="s">
        <v>846</v>
      </c>
      <c r="V16" s="11" t="str">
        <f t="shared" si="0"/>
        <v>4791234567</v>
      </c>
      <c r="W16" s="6" t="str">
        <f t="shared" ca="1" si="1"/>
        <v>OK</v>
      </c>
      <c r="X16" s="6" t="str">
        <f t="shared" ca="1" si="2"/>
        <v>OK</v>
      </c>
      <c r="Y16" s="6" t="str">
        <f t="shared" ca="1" si="3"/>
        <v>OK</v>
      </c>
      <c r="Z16" s="6" t="str">
        <f>IF($P16="","",IF(SUMPRODUCT(--EXACT($P16,Config!$G$2:$G$4))&gt;0,"OK",IF(NOT(ISNA(MATCH($P16,Config!$G$2:$G$4,0))),"WARNING: wrong capitalisation - should be """&amp;INDEX(Config!$G$2:$G$4,MATCH($P16,Config!$G$2:$G$4,0))&amp;""" exactly","Must be one of: Active, Deactivated, Suspended")))</f>
        <v>OK</v>
      </c>
      <c r="AA16" s="6" t="str">
        <f>IF($Q16="","",IF(SUMPRODUCT(--EXACT($Q16,Config!$H$2:$H$3))&gt;0,"OK",IF(NOT(ISNA(MATCH($Q16,Config!$H$2:$H$3,0))),"WARNING: wrong capitalisation - should be """&amp;INDEX(Config!$H$2:$H$3,MATCH($Q16,Config!$H$2:$H$3,0))&amp;""" exactly","Must be one of: eSIM, Physical SIM")))</f>
        <v>OK</v>
      </c>
      <c r="AB16" s="6" t="str">
        <f t="shared" ca="1" si="4"/>
        <v>OK</v>
      </c>
      <c r="AC16" s="6"/>
      <c r="AD16" s="7" t="s">
        <v>871</v>
      </c>
    </row>
    <row r="17" spans="1:30" x14ac:dyDescent="0.35">
      <c r="A17" s="6" t="s">
        <v>911</v>
      </c>
      <c r="B17" s="6" t="s">
        <v>912</v>
      </c>
      <c r="C17" s="9" t="s">
        <v>913</v>
      </c>
      <c r="D17" s="6"/>
      <c r="E17" s="9" t="s">
        <v>914</v>
      </c>
      <c r="F17" s="6"/>
      <c r="G17" s="9" t="s">
        <v>845</v>
      </c>
      <c r="H17" s="6" t="s">
        <v>243</v>
      </c>
      <c r="I17" s="6"/>
      <c r="J17" s="6"/>
      <c r="K17" s="6"/>
      <c r="L17" s="6"/>
      <c r="M17" s="6"/>
      <c r="N17" s="6"/>
      <c r="O17" s="6"/>
      <c r="P17" s="6" t="s">
        <v>59</v>
      </c>
      <c r="Q17" s="6" t="s">
        <v>60</v>
      </c>
      <c r="R17" s="6"/>
      <c r="S17" s="6"/>
      <c r="T17" s="6" t="str">
        <f ca="1">IF($C17="","",IF($V17="","No digits at all - enter a phone number",IF(NOT(SUMPRODUCT(--ISNUMBER(--MID($V17,ROW(INDIRECT("1:"&amp;LEN($V17))),1)))=LEN($V17)),"Digits only - no letters or symbols (+ ( ) - . and spaces are tolerated)",IF(LEN($V17)&lt;8,"Too short - "&amp;LEN($V17)&amp;" digits (min 8)",IF(LEN($V17)&gt;15,"Too long - "&amp;LEN($V17)&amp;" digits (max 15)",IF($H17="","WARNING: SIM_Country is empty - cannot check the country code",IF(ISNA(MATCH($H17,tblCountries[Name],0)),IF(ISNA(MATCH(TRIM(SUBSTITUTE($H17,CHAR(160)," ")),tblCountries[Name],0)),"WARNING: SIM_Country """&amp;$H17&amp;""" is not in tblCountries","WARNING: SIM_Country """&amp;$H17&amp;""" has stray spaces around it (usually from a paste) - retype it or pick it from the dropdown"),IF(LEFT($V17,LEN(TEXT(INDEX(tblCountries[DialCode],MATCH($H17,tblCountries[Name],0)),"0")))&lt;&gt;TEXT(INDEX(tblCountries[DialCode],MATCH($H17,tblCountries[Name],0)),"0"),"Wrong country code - must start with +"&amp;TEXT(INDEX(tblCountries[DialCode],MATCH($H17,tblCountries[Name],0)),"0")&amp;" for "&amp;$H17,"OK"))))))))</f>
        <v>OK</v>
      </c>
      <c r="U17" s="9" t="s">
        <v>846</v>
      </c>
      <c r="V17" s="11" t="str">
        <f t="shared" si="0"/>
        <v>420601234567</v>
      </c>
      <c r="W17" s="6" t="str">
        <f t="shared" ca="1" si="1"/>
        <v>Too short - 13 digits (min 18)</v>
      </c>
      <c r="X17" s="6" t="str">
        <f t="shared" ca="1" si="2"/>
        <v>OK</v>
      </c>
      <c r="Y17" s="6" t="str">
        <f t="shared" ca="1" si="3"/>
        <v>OK</v>
      </c>
      <c r="Z17" s="6" t="str">
        <f>IF($P17="","",IF(SUMPRODUCT(--EXACT($P17,Config!$G$2:$G$4))&gt;0,"OK",IF(NOT(ISNA(MATCH($P17,Config!$G$2:$G$4,0))),"WARNING: wrong capitalisation - should be """&amp;INDEX(Config!$G$2:$G$4,MATCH($P17,Config!$G$2:$G$4,0))&amp;""" exactly","Must be one of: Active, Deactivated, Suspended")))</f>
        <v>OK</v>
      </c>
      <c r="AA17" s="6" t="str">
        <f>IF($Q17="","",IF(SUMPRODUCT(--EXACT($Q17,Config!$H$2:$H$3))&gt;0,"OK",IF(NOT(ISNA(MATCH($Q17,Config!$H$2:$H$3,0))),"WARNING: wrong capitalisation - should be """&amp;INDEX(Config!$H$2:$H$3,MATCH($Q17,Config!$H$2:$H$3,0))&amp;""" exactly","Must be one of: eSIM, Physical SIM")))</f>
        <v>OK</v>
      </c>
      <c r="AB17" s="6" t="str">
        <f t="shared" ca="1" si="4"/>
        <v>ICC_ID: Too short - 13 digits (min 18)</v>
      </c>
      <c r="AC17" s="6"/>
      <c r="AD17" s="7" t="s">
        <v>915</v>
      </c>
    </row>
    <row r="18" spans="1:30" x14ac:dyDescent="0.35">
      <c r="A18" s="6" t="s">
        <v>916</v>
      </c>
      <c r="B18" s="6" t="s">
        <v>917</v>
      </c>
      <c r="C18" s="9" t="s">
        <v>918</v>
      </c>
      <c r="D18" s="6"/>
      <c r="E18" s="9" t="s">
        <v>919</v>
      </c>
      <c r="F18" s="6"/>
      <c r="G18" s="9" t="s">
        <v>845</v>
      </c>
      <c r="H18" s="6" t="s">
        <v>168</v>
      </c>
      <c r="I18" s="6"/>
      <c r="J18" s="6"/>
      <c r="K18" s="6"/>
      <c r="L18" s="6"/>
      <c r="M18" s="6"/>
      <c r="N18" s="6"/>
      <c r="O18" s="6"/>
      <c r="P18" s="6" t="s">
        <v>59</v>
      </c>
      <c r="Q18" s="6" t="s">
        <v>60</v>
      </c>
      <c r="R18" s="6"/>
      <c r="S18" s="6"/>
      <c r="T18" s="6" t="str">
        <f ca="1">IF($C18="","",IF($V18="","No digits at all - enter a phone number",IF(NOT(SUMPRODUCT(--ISNUMBER(--MID($V18,ROW(INDIRECT("1:"&amp;LEN($V18))),1)))=LEN($V18)),"Digits only - no letters or symbols (+ ( ) - . and spaces are tolerated)",IF(LEN($V18)&lt;8,"Too short - "&amp;LEN($V18)&amp;" digits (min 8)",IF(LEN($V18)&gt;15,"Too long - "&amp;LEN($V18)&amp;" digits (max 15)",IF($H18="","WARNING: SIM_Country is empty - cannot check the country code",IF(ISNA(MATCH($H18,tblCountries[Name],0)),IF(ISNA(MATCH(TRIM(SUBSTITUTE($H18,CHAR(160)," ")),tblCountries[Name],0)),"WARNING: SIM_Country """&amp;$H18&amp;""" is not in tblCountries","WARNING: SIM_Country """&amp;$H18&amp;""" has stray spaces around it (usually from a paste) - retype it or pick it from the dropdown"),IF(LEFT($V18,LEN(TEXT(INDEX(tblCountries[DialCode],MATCH($H18,tblCountries[Name],0)),"0")))&lt;&gt;TEXT(INDEX(tblCountries[DialCode],MATCH($H18,tblCountries[Name],0)),"0"),"Wrong country code - must start with +"&amp;TEXT(INDEX(tblCountries[DialCode],MATCH($H18,tblCountries[Name],0)),"0")&amp;" for "&amp;$H18,"OK"))))))))</f>
        <v>OK</v>
      </c>
      <c r="U18" s="9" t="s">
        <v>846</v>
      </c>
      <c r="V18" s="11" t="str">
        <f t="shared" si="0"/>
        <v>359881234567</v>
      </c>
      <c r="W18" s="6" t="str">
        <f t="shared" ca="1" si="1"/>
        <v>Too long - 23 digits (max 22)</v>
      </c>
      <c r="X18" s="6" t="str">
        <f t="shared" ca="1" si="2"/>
        <v>OK</v>
      </c>
      <c r="Y18" s="6" t="str">
        <f t="shared" ca="1" si="3"/>
        <v>OK</v>
      </c>
      <c r="Z18" s="6" t="str">
        <f>IF($P18="","",IF(SUMPRODUCT(--EXACT($P18,Config!$G$2:$G$4))&gt;0,"OK",IF(NOT(ISNA(MATCH($P18,Config!$G$2:$G$4,0))),"WARNING: wrong capitalisation - should be """&amp;INDEX(Config!$G$2:$G$4,MATCH($P18,Config!$G$2:$G$4,0))&amp;""" exactly","Must be one of: Active, Deactivated, Suspended")))</f>
        <v>OK</v>
      </c>
      <c r="AA18" s="6" t="str">
        <f>IF($Q18="","",IF(SUMPRODUCT(--EXACT($Q18,Config!$H$2:$H$3))&gt;0,"OK",IF(NOT(ISNA(MATCH($Q18,Config!$H$2:$H$3,0))),"WARNING: wrong capitalisation - should be """&amp;INDEX(Config!$H$2:$H$3,MATCH($Q18,Config!$H$2:$H$3,0))&amp;""" exactly","Must be one of: eSIM, Physical SIM")))</f>
        <v>OK</v>
      </c>
      <c r="AB18" s="6" t="str">
        <f t="shared" ca="1" si="4"/>
        <v>ICC_ID: Too long - 23 digits (max 22)</v>
      </c>
      <c r="AC18" s="6"/>
      <c r="AD18" s="7" t="s">
        <v>920</v>
      </c>
    </row>
    <row r="19" spans="1:30" x14ac:dyDescent="0.35">
      <c r="A19" s="6" t="s">
        <v>921</v>
      </c>
      <c r="B19" s="6" t="s">
        <v>922</v>
      </c>
      <c r="C19" s="9" t="s">
        <v>923</v>
      </c>
      <c r="D19" s="6"/>
      <c r="E19" s="9" t="s">
        <v>924</v>
      </c>
      <c r="F19" s="6"/>
      <c r="G19" s="9" t="s">
        <v>845</v>
      </c>
      <c r="H19" s="6" t="s">
        <v>567</v>
      </c>
      <c r="I19" s="6"/>
      <c r="J19" s="6"/>
      <c r="K19" s="6"/>
      <c r="L19" s="6"/>
      <c r="M19" s="6"/>
      <c r="N19" s="6"/>
      <c r="O19" s="6"/>
      <c r="P19" s="6" t="s">
        <v>59</v>
      </c>
      <c r="Q19" s="6" t="s">
        <v>60</v>
      </c>
      <c r="R19" s="6"/>
      <c r="S19" s="6"/>
      <c r="T19" s="6" t="str">
        <f ca="1">IF($C19="","",IF($V19="","No digits at all - enter a phone number",IF(NOT(SUMPRODUCT(--ISNUMBER(--MID($V19,ROW(INDIRECT("1:"&amp;LEN($V19))),1)))=LEN($V19)),"Digits only - no letters or symbols (+ ( ) - . and spaces are tolerated)",IF(LEN($V19)&lt;8,"Too short - "&amp;LEN($V19)&amp;" digits (min 8)",IF(LEN($V19)&gt;15,"Too long - "&amp;LEN($V19)&amp;" digits (max 15)",IF($H19="","WARNING: SIM_Country is empty - cannot check the country code",IF(ISNA(MATCH($H19,tblCountries[Name],0)),IF(ISNA(MATCH(TRIM(SUBSTITUTE($H19,CHAR(160)," ")),tblCountries[Name],0)),"WARNING: SIM_Country """&amp;$H19&amp;""" is not in tblCountries","WARNING: SIM_Country """&amp;$H19&amp;""" has stray spaces around it (usually from a paste) - retype it or pick it from the dropdown"),IF(LEFT($V19,LEN(TEXT(INDEX(tblCountries[DialCode],MATCH($H19,tblCountries[Name],0)),"0")))&lt;&gt;TEXT(INDEX(tblCountries[DialCode],MATCH($H19,tblCountries[Name],0)),"0"),"Wrong country code - must start with +"&amp;TEXT(INDEX(tblCountries[DialCode],MATCH($H19,tblCountries[Name],0)),"0")&amp;" for "&amp;$H19,"OK"))))))))</f>
        <v>OK</v>
      </c>
      <c r="U19" s="9" t="s">
        <v>846</v>
      </c>
      <c r="V19" s="11" t="str">
        <f t="shared" si="0"/>
        <v>4791234567</v>
      </c>
      <c r="W19" s="6" t="str">
        <f t="shared" ca="1" si="1"/>
        <v>Must start with 89 (ITU-T E.118 telecom prefix)</v>
      </c>
      <c r="X19" s="6" t="str">
        <f t="shared" ca="1" si="2"/>
        <v>OK</v>
      </c>
      <c r="Y19" s="6" t="str">
        <f t="shared" ca="1" si="3"/>
        <v>OK</v>
      </c>
      <c r="Z19" s="6" t="str">
        <f>IF($P19="","",IF(SUMPRODUCT(--EXACT($P19,Config!$G$2:$G$4))&gt;0,"OK",IF(NOT(ISNA(MATCH($P19,Config!$G$2:$G$4,0))),"WARNING: wrong capitalisation - should be """&amp;INDEX(Config!$G$2:$G$4,MATCH($P19,Config!$G$2:$G$4,0))&amp;""" exactly","Must be one of: Active, Deactivated, Suspended")))</f>
        <v>OK</v>
      </c>
      <c r="AA19" s="6" t="str">
        <f>IF($Q19="","",IF(SUMPRODUCT(--EXACT($Q19,Config!$H$2:$H$3))&gt;0,"OK",IF(NOT(ISNA(MATCH($Q19,Config!$H$2:$H$3,0))),"WARNING: wrong capitalisation - should be """&amp;INDEX(Config!$H$2:$H$3,MATCH($Q19,Config!$H$2:$H$3,0))&amp;""" exactly","Must be one of: eSIM, Physical SIM")))</f>
        <v>OK</v>
      </c>
      <c r="AB19" s="6" t="str">
        <f t="shared" ca="1" si="4"/>
        <v>ICC_ID: Must start with 89 (ITU-T E.118 telecom prefix)</v>
      </c>
      <c r="AC19" s="6"/>
      <c r="AD19" s="7" t="s">
        <v>925</v>
      </c>
    </row>
    <row r="20" spans="1:30" x14ac:dyDescent="0.35">
      <c r="A20" s="6" t="s">
        <v>926</v>
      </c>
      <c r="B20" s="6" t="s">
        <v>927</v>
      </c>
      <c r="C20" s="9" t="s">
        <v>928</v>
      </c>
      <c r="D20" s="6"/>
      <c r="E20" s="9" t="s">
        <v>929</v>
      </c>
      <c r="F20" s="6"/>
      <c r="G20" s="9" t="s">
        <v>845</v>
      </c>
      <c r="H20" s="6" t="s">
        <v>603</v>
      </c>
      <c r="I20" s="6"/>
      <c r="J20" s="6"/>
      <c r="K20" s="6"/>
      <c r="L20" s="6"/>
      <c r="M20" s="6"/>
      <c r="N20" s="6"/>
      <c r="O20" s="6"/>
      <c r="P20" s="6" t="s">
        <v>59</v>
      </c>
      <c r="Q20" s="6" t="s">
        <v>60</v>
      </c>
      <c r="R20" s="6"/>
      <c r="S20" s="6"/>
      <c r="T20" s="6" t="str">
        <f ca="1">IF($C20="","",IF($V20="","No digits at all - enter a phone number",IF(NOT(SUMPRODUCT(--ISNUMBER(--MID($V20,ROW(INDIRECT("1:"&amp;LEN($V20))),1)))=LEN($V20)),"Digits only - no letters or symbols (+ ( ) - . and spaces are tolerated)",IF(LEN($V20)&lt;8,"Too short - "&amp;LEN($V20)&amp;" digits (min 8)",IF(LEN($V20)&gt;15,"Too long - "&amp;LEN($V20)&amp;" digits (max 15)",IF($H20="","WARNING: SIM_Country is empty - cannot check the country code",IF(ISNA(MATCH($H20,tblCountries[Name],0)),IF(ISNA(MATCH(TRIM(SUBSTITUTE($H20,CHAR(160)," ")),tblCountries[Name],0)),"WARNING: SIM_Country """&amp;$H20&amp;""" is not in tblCountries","WARNING: SIM_Country """&amp;$H20&amp;""" has stray spaces around it (usually from a paste) - retype it or pick it from the dropdown"),IF(LEFT($V20,LEN(TEXT(INDEX(tblCountries[DialCode],MATCH($H20,tblCountries[Name],0)),"0")))&lt;&gt;TEXT(INDEX(tblCountries[DialCode],MATCH($H20,tblCountries[Name],0)),"0"),"Wrong country code - must start with +"&amp;TEXT(INDEX(tblCountries[DialCode],MATCH($H20,tblCountries[Name],0)),"0")&amp;" for "&amp;$H20,"OK"))))))))</f>
        <v>OK</v>
      </c>
      <c r="U20" s="9" t="s">
        <v>846</v>
      </c>
      <c r="V20" s="11" t="str">
        <f t="shared" si="0"/>
        <v>351912345678</v>
      </c>
      <c r="W20" s="6" t="str">
        <f t="shared" ca="1" si="1"/>
        <v>Digits only - no +, -, spaces or any other character</v>
      </c>
      <c r="X20" s="6" t="str">
        <f t="shared" ca="1" si="2"/>
        <v>OK</v>
      </c>
      <c r="Y20" s="6" t="str">
        <f t="shared" ca="1" si="3"/>
        <v>OK</v>
      </c>
      <c r="Z20" s="6" t="str">
        <f>IF($P20="","",IF(SUMPRODUCT(--EXACT($P20,Config!$G$2:$G$4))&gt;0,"OK",IF(NOT(ISNA(MATCH($P20,Config!$G$2:$G$4,0))),"WARNING: wrong capitalisation - should be """&amp;INDEX(Config!$G$2:$G$4,MATCH($P20,Config!$G$2:$G$4,0))&amp;""" exactly","Must be one of: Active, Deactivated, Suspended")))</f>
        <v>OK</v>
      </c>
      <c r="AA20" s="6" t="str">
        <f>IF($Q20="","",IF(SUMPRODUCT(--EXACT($Q20,Config!$H$2:$H$3))&gt;0,"OK",IF(NOT(ISNA(MATCH($Q20,Config!$H$2:$H$3,0))),"WARNING: wrong capitalisation - should be """&amp;INDEX(Config!$H$2:$H$3,MATCH($Q20,Config!$H$2:$H$3,0))&amp;""" exactly","Must be one of: eSIM, Physical SIM")))</f>
        <v>OK</v>
      </c>
      <c r="AB20" s="6" t="str">
        <f t="shared" ca="1" si="4"/>
        <v>ICC_ID: Digits only - no +, -, spaces or any other character</v>
      </c>
      <c r="AC20" s="6"/>
      <c r="AD20" s="7" t="s">
        <v>930</v>
      </c>
    </row>
    <row r="21" spans="1:30" x14ac:dyDescent="0.35">
      <c r="A21" s="6" t="s">
        <v>931</v>
      </c>
      <c r="B21" s="6" t="s">
        <v>932</v>
      </c>
      <c r="C21" s="9" t="s">
        <v>933</v>
      </c>
      <c r="D21" s="6"/>
      <c r="E21" s="9" t="s">
        <v>934</v>
      </c>
      <c r="F21" s="6"/>
      <c r="G21" s="9" t="s">
        <v>845</v>
      </c>
      <c r="H21" s="6" t="s">
        <v>291</v>
      </c>
      <c r="I21" s="6"/>
      <c r="J21" s="6"/>
      <c r="K21" s="6"/>
      <c r="L21" s="6"/>
      <c r="M21" s="6"/>
      <c r="N21" s="6"/>
      <c r="O21" s="6"/>
      <c r="P21" s="6" t="s">
        <v>59</v>
      </c>
      <c r="Q21" s="6" t="s">
        <v>60</v>
      </c>
      <c r="R21" s="6"/>
      <c r="S21" s="6"/>
      <c r="T21" s="6" t="str">
        <f ca="1">IF($C21="","",IF($V21="","No digits at all - enter a phone number",IF(NOT(SUMPRODUCT(--ISNUMBER(--MID($V21,ROW(INDIRECT("1:"&amp;LEN($V21))),1)))=LEN($V21)),"Digits only - no letters or symbols (+ ( ) - . and spaces are tolerated)",IF(LEN($V21)&lt;8,"Too short - "&amp;LEN($V21)&amp;" digits (min 8)",IF(LEN($V21)&gt;15,"Too long - "&amp;LEN($V21)&amp;" digits (max 15)",IF($H21="","WARNING: SIM_Country is empty - cannot check the country code",IF(ISNA(MATCH($H21,tblCountries[Name],0)),IF(ISNA(MATCH(TRIM(SUBSTITUTE($H21,CHAR(160)," ")),tblCountries[Name],0)),"WARNING: SIM_Country """&amp;$H21&amp;""" is not in tblCountries","WARNING: SIM_Country """&amp;$H21&amp;""" has stray spaces around it (usually from a paste) - retype it or pick it from the dropdown"),IF(LEFT($V21,LEN(TEXT(INDEX(tblCountries[DialCode],MATCH($H21,tblCountries[Name],0)),"0")))&lt;&gt;TEXT(INDEX(tblCountries[DialCode],MATCH($H21,tblCountries[Name],0)),"0"),"Wrong country code - must start with +"&amp;TEXT(INDEX(tblCountries[DialCode],MATCH($H21,tblCountries[Name],0)),"0")&amp;" for "&amp;$H21,"OK"))))))))</f>
        <v>OK</v>
      </c>
      <c r="U21" s="9" t="s">
        <v>846</v>
      </c>
      <c r="V21" s="11" t="str">
        <f t="shared" si="0"/>
        <v>358401234567</v>
      </c>
      <c r="W21" s="6" t="str">
        <f t="shared" ca="1" si="1"/>
        <v>WARNING: Luhn check digit does not match - likely a typo or a transposition</v>
      </c>
      <c r="X21" s="6" t="str">
        <f t="shared" ca="1" si="2"/>
        <v>OK</v>
      </c>
      <c r="Y21" s="6" t="str">
        <f t="shared" ca="1" si="3"/>
        <v>OK</v>
      </c>
      <c r="Z21" s="6" t="str">
        <f>IF($P21="","",IF(SUMPRODUCT(--EXACT($P21,Config!$G$2:$G$4))&gt;0,"OK",IF(NOT(ISNA(MATCH($P21,Config!$G$2:$G$4,0))),"WARNING: wrong capitalisation - should be """&amp;INDEX(Config!$G$2:$G$4,MATCH($P21,Config!$G$2:$G$4,0))&amp;""" exactly","Must be one of: Active, Deactivated, Suspended")))</f>
        <v>OK</v>
      </c>
      <c r="AA21" s="6" t="str">
        <f>IF($Q21="","",IF(SUMPRODUCT(--EXACT($Q21,Config!$H$2:$H$3))&gt;0,"OK",IF(NOT(ISNA(MATCH($Q21,Config!$H$2:$H$3,0))),"WARNING: wrong capitalisation - should be """&amp;INDEX(Config!$H$2:$H$3,MATCH($Q21,Config!$H$2:$H$3,0))&amp;""" exactly","Must be one of: eSIM, Physical SIM")))</f>
        <v>OK</v>
      </c>
      <c r="AB21" s="6" t="str">
        <f t="shared" ca="1" si="4"/>
        <v>ICC_ID: WARNING: Luhn check digit does not match - likely a typo or a transposition</v>
      </c>
      <c r="AC21" s="6"/>
      <c r="AD21" s="7" t="s">
        <v>935</v>
      </c>
    </row>
    <row r="22" spans="1:30" x14ac:dyDescent="0.35">
      <c r="A22" s="6" t="s">
        <v>936</v>
      </c>
      <c r="B22" s="6" t="s">
        <v>937</v>
      </c>
      <c r="C22" s="9" t="s">
        <v>938</v>
      </c>
      <c r="D22" s="6"/>
      <c r="E22" s="9" t="s">
        <v>864</v>
      </c>
      <c r="F22" s="6"/>
      <c r="G22" s="9" t="s">
        <v>845</v>
      </c>
      <c r="H22" s="6" t="s">
        <v>369</v>
      </c>
      <c r="I22" s="6"/>
      <c r="J22" s="6"/>
      <c r="K22" s="6"/>
      <c r="L22" s="6"/>
      <c r="M22" s="6"/>
      <c r="N22" s="6"/>
      <c r="O22" s="6"/>
      <c r="P22" s="6" t="s">
        <v>59</v>
      </c>
      <c r="Q22" s="6" t="s">
        <v>60</v>
      </c>
      <c r="R22" s="6"/>
      <c r="S22" s="6"/>
      <c r="T22" s="6" t="str">
        <f ca="1">IF($C22="","",IF($V22="","No digits at all - enter a phone number",IF(NOT(SUMPRODUCT(--ISNUMBER(--MID($V22,ROW(INDIRECT("1:"&amp;LEN($V22))),1)))=LEN($V22)),"Digits only - no letters or symbols (+ ( ) - . and spaces are tolerated)",IF(LEN($V22)&lt;8,"Too short - "&amp;LEN($V22)&amp;" digits (min 8)",IF(LEN($V22)&gt;15,"Too long - "&amp;LEN($V22)&amp;" digits (max 15)",IF($H22="","WARNING: SIM_Country is empty - cannot check the country code",IF(ISNA(MATCH($H22,tblCountries[Name],0)),IF(ISNA(MATCH(TRIM(SUBSTITUTE($H22,CHAR(160)," ")),tblCountries[Name],0)),"WARNING: SIM_Country """&amp;$H22&amp;""" is not in tblCountries","WARNING: SIM_Country """&amp;$H22&amp;""" has stray spaces around it (usually from a paste) - retype it or pick it from the dropdown"),IF(LEFT($V22,LEN(TEXT(INDEX(tblCountries[DialCode],MATCH($H22,tblCountries[Name],0)),"0")))&lt;&gt;TEXT(INDEX(tblCountries[DialCode],MATCH($H22,tblCountries[Name],0)),"0"),"Wrong country code - must start with +"&amp;TEXT(INDEX(tblCountries[DialCode],MATCH($H22,tblCountries[Name],0)),"0")&amp;" for "&amp;$H22,"OK"))))))))</f>
        <v>OK</v>
      </c>
      <c r="U22" s="9" t="s">
        <v>846</v>
      </c>
      <c r="V22" s="11" t="str">
        <f t="shared" si="0"/>
        <v>36301234567</v>
      </c>
      <c r="W22" s="6" t="str">
        <f t="shared" ca="1" si="1"/>
        <v>OK</v>
      </c>
      <c r="X22" s="6" t="str">
        <f t="shared" ca="1" si="2"/>
        <v>OK</v>
      </c>
      <c r="Y22" s="6" t="str">
        <f t="shared" ca="1" si="3"/>
        <v>OK</v>
      </c>
      <c r="Z22" s="6" t="str">
        <f>IF($P22="","",IF(SUMPRODUCT(--EXACT($P22,Config!$G$2:$G$4))&gt;0,"OK",IF(NOT(ISNA(MATCH($P22,Config!$G$2:$G$4,0))),"WARNING: wrong capitalisation - should be """&amp;INDEX(Config!$G$2:$G$4,MATCH($P22,Config!$G$2:$G$4,0))&amp;""" exactly","Must be one of: Active, Deactivated, Suspended")))</f>
        <v>OK</v>
      </c>
      <c r="AA22" s="6" t="str">
        <f>IF($Q22="","",IF(SUMPRODUCT(--EXACT($Q22,Config!$H$2:$H$3))&gt;0,"OK",IF(NOT(ISNA(MATCH($Q22,Config!$H$2:$H$3,0))),"WARNING: wrong capitalisation - should be """&amp;INDEX(Config!$H$2:$H$3,MATCH($Q22,Config!$H$2:$H$3,0))&amp;""" exactly","Must be one of: eSIM, Physical SIM")))</f>
        <v>OK</v>
      </c>
      <c r="AB22" s="6" t="str">
        <f t="shared" ca="1" si="4"/>
        <v>OK</v>
      </c>
      <c r="AC22" s="6"/>
      <c r="AD22" s="7" t="s">
        <v>939</v>
      </c>
    </row>
    <row r="23" spans="1:30" x14ac:dyDescent="0.35">
      <c r="A23" s="6" t="s">
        <v>940</v>
      </c>
      <c r="B23" s="6" t="s">
        <v>941</v>
      </c>
      <c r="C23" s="9" t="s">
        <v>942</v>
      </c>
      <c r="D23" s="6"/>
      <c r="E23" s="9" t="s">
        <v>844</v>
      </c>
      <c r="F23" s="6"/>
      <c r="G23" s="9" t="s">
        <v>845</v>
      </c>
      <c r="H23" s="6" t="s">
        <v>768</v>
      </c>
      <c r="I23" s="6"/>
      <c r="J23" s="6"/>
      <c r="K23" s="6"/>
      <c r="L23" s="6"/>
      <c r="M23" s="6"/>
      <c r="N23" s="6"/>
      <c r="O23" s="6"/>
      <c r="P23" s="6" t="s">
        <v>59</v>
      </c>
      <c r="Q23" s="6" t="s">
        <v>65</v>
      </c>
      <c r="R23" s="6"/>
      <c r="S23" s="6"/>
      <c r="T23" s="6" t="str">
        <f ca="1">IF($C23="","",IF($V23="","No digits at all - enter a phone number",IF(NOT(SUMPRODUCT(--ISNUMBER(--MID($V23,ROW(INDIRECT("1:"&amp;LEN($V23))),1)))=LEN($V23)),"Digits only - no letters or symbols (+ ( ) - . and spaces are tolerated)",IF(LEN($V23)&lt;8,"Too short - "&amp;LEN($V23)&amp;" digits (min 8)",IF(LEN($V23)&gt;15,"Too long - "&amp;LEN($V23)&amp;" digits (max 15)",IF($H23="","WARNING: SIM_Country is empty - cannot check the country code",IF(ISNA(MATCH($H23,tblCountries[Name],0)),IF(ISNA(MATCH(TRIM(SUBSTITUTE($H23,CHAR(160)," ")),tblCountries[Name],0)),"WARNING: SIM_Country """&amp;$H23&amp;""" is not in tblCountries","WARNING: SIM_Country """&amp;$H23&amp;""" has stray spaces around it (usually from a paste) - retype it or pick it from the dropdown"),IF(LEFT($V23,LEN(TEXT(INDEX(tblCountries[DialCode],MATCH($H23,tblCountries[Name],0)),"0")))&lt;&gt;TEXT(INDEX(tblCountries[DialCode],MATCH($H23,tblCountries[Name],0)),"0"),"Wrong country code - must start with +"&amp;TEXT(INDEX(tblCountries[DialCode],MATCH($H23,tblCountries[Name],0)),"0")&amp;" for "&amp;$H23,"OK"))))))))</f>
        <v>OK</v>
      </c>
      <c r="U23" s="9" t="s">
        <v>943</v>
      </c>
      <c r="V23" s="11" t="str">
        <f t="shared" si="0"/>
        <v>971501234567</v>
      </c>
      <c r="W23" s="6" t="str">
        <f t="shared" ca="1" si="1"/>
        <v>OK</v>
      </c>
      <c r="X23" s="6" t="str">
        <f t="shared" ca="1" si="2"/>
        <v>Must be exactly 15 digits - this one has 14</v>
      </c>
      <c r="Y23" s="6" t="str">
        <f t="shared" ca="1" si="3"/>
        <v>OK</v>
      </c>
      <c r="Z23" s="6" t="str">
        <f>IF($P23="","",IF(SUMPRODUCT(--EXACT($P23,Config!$G$2:$G$4))&gt;0,"OK",IF(NOT(ISNA(MATCH($P23,Config!$G$2:$G$4,0))),"WARNING: wrong capitalisation - should be """&amp;INDEX(Config!$G$2:$G$4,MATCH($P23,Config!$G$2:$G$4,0))&amp;""" exactly","Must be one of: Active, Deactivated, Suspended")))</f>
        <v>OK</v>
      </c>
      <c r="AA23" s="6" t="str">
        <f>IF($Q23="","",IF(SUMPRODUCT(--EXACT($Q23,Config!$H$2:$H$3))&gt;0,"OK",IF(NOT(ISNA(MATCH($Q23,Config!$H$2:$H$3,0))),"WARNING: wrong capitalisation - should be """&amp;INDEX(Config!$H$2:$H$3,MATCH($Q23,Config!$H$2:$H$3,0))&amp;""" exactly","Must be one of: eSIM, Physical SIM")))</f>
        <v>OK</v>
      </c>
      <c r="AB23" s="6" t="str">
        <f t="shared" ca="1" si="4"/>
        <v>IMEI: Must be exactly 15 digits - this one has 14</v>
      </c>
      <c r="AC23" s="6"/>
      <c r="AD23" s="7" t="s">
        <v>944</v>
      </c>
    </row>
    <row r="24" spans="1:30" x14ac:dyDescent="0.35">
      <c r="A24" s="6" t="s">
        <v>945</v>
      </c>
      <c r="B24" s="6" t="s">
        <v>946</v>
      </c>
      <c r="C24" s="9" t="s">
        <v>947</v>
      </c>
      <c r="D24" s="6"/>
      <c r="E24" s="9" t="s">
        <v>844</v>
      </c>
      <c r="F24" s="6"/>
      <c r="G24" s="9" t="s">
        <v>845</v>
      </c>
      <c r="H24" s="6" t="s">
        <v>393</v>
      </c>
      <c r="I24" s="6"/>
      <c r="J24" s="6"/>
      <c r="K24" s="6"/>
      <c r="L24" s="6"/>
      <c r="M24" s="6"/>
      <c r="N24" s="6"/>
      <c r="O24" s="6"/>
      <c r="P24" s="6" t="s">
        <v>59</v>
      </c>
      <c r="Q24" s="6" t="s">
        <v>65</v>
      </c>
      <c r="R24" s="6"/>
      <c r="S24" s="6"/>
      <c r="T24" s="6" t="str">
        <f ca="1">IF($C24="","",IF($V24="","No digits at all - enter a phone number",IF(NOT(SUMPRODUCT(--ISNUMBER(--MID($V24,ROW(INDIRECT("1:"&amp;LEN($V24))),1)))=LEN($V24)),"Digits only - no letters or symbols (+ ( ) - . and spaces are tolerated)",IF(LEN($V24)&lt;8,"Too short - "&amp;LEN($V24)&amp;" digits (min 8)",IF(LEN($V24)&gt;15,"Too long - "&amp;LEN($V24)&amp;" digits (max 15)",IF($H24="","WARNING: SIM_Country is empty - cannot check the country code",IF(ISNA(MATCH($H24,tblCountries[Name],0)),IF(ISNA(MATCH(TRIM(SUBSTITUTE($H24,CHAR(160)," ")),tblCountries[Name],0)),"WARNING: SIM_Country """&amp;$H24&amp;""" is not in tblCountries","WARNING: SIM_Country """&amp;$H24&amp;""" has stray spaces around it (usually from a paste) - retype it or pick it from the dropdown"),IF(LEFT($V24,LEN(TEXT(INDEX(tblCountries[DialCode],MATCH($H24,tblCountries[Name],0)),"0")))&lt;&gt;TEXT(INDEX(tblCountries[DialCode],MATCH($H24,tblCountries[Name],0)),"0"),"Wrong country code - must start with +"&amp;TEXT(INDEX(tblCountries[DialCode],MATCH($H24,tblCountries[Name],0)),"0")&amp;" for "&amp;$H24,"OK"))))))))</f>
        <v>OK</v>
      </c>
      <c r="U24" s="9" t="s">
        <v>948</v>
      </c>
      <c r="V24" s="11" t="str">
        <f t="shared" si="0"/>
        <v>972501234567</v>
      </c>
      <c r="W24" s="6" t="str">
        <f t="shared" ca="1" si="1"/>
        <v>OK</v>
      </c>
      <c r="X24" s="6" t="str">
        <f t="shared" ca="1" si="2"/>
        <v>Digits only - no +, -, spaces or any other character</v>
      </c>
      <c r="Y24" s="6" t="str">
        <f t="shared" ca="1" si="3"/>
        <v>OK</v>
      </c>
      <c r="Z24" s="6" t="str">
        <f>IF($P24="","",IF(SUMPRODUCT(--EXACT($P24,Config!$G$2:$G$4))&gt;0,"OK",IF(NOT(ISNA(MATCH($P24,Config!$G$2:$G$4,0))),"WARNING: wrong capitalisation - should be """&amp;INDEX(Config!$G$2:$G$4,MATCH($P24,Config!$G$2:$G$4,0))&amp;""" exactly","Must be one of: Active, Deactivated, Suspended")))</f>
        <v>OK</v>
      </c>
      <c r="AA24" s="6" t="str">
        <f>IF($Q24="","",IF(SUMPRODUCT(--EXACT($Q24,Config!$H$2:$H$3))&gt;0,"OK",IF(NOT(ISNA(MATCH($Q24,Config!$H$2:$H$3,0))),"WARNING: wrong capitalisation - should be """&amp;INDEX(Config!$H$2:$H$3,MATCH($Q24,Config!$H$2:$H$3,0))&amp;""" exactly","Must be one of: eSIM, Physical SIM")))</f>
        <v>OK</v>
      </c>
      <c r="AB24" s="6" t="str">
        <f t="shared" ca="1" si="4"/>
        <v>IMEI: Digits only - no +, -, spaces or any other character</v>
      </c>
      <c r="AC24" s="6"/>
      <c r="AD24" s="7" t="s">
        <v>949</v>
      </c>
    </row>
    <row r="25" spans="1:30" x14ac:dyDescent="0.35">
      <c r="A25" s="6" t="s">
        <v>950</v>
      </c>
      <c r="B25" s="6" t="s">
        <v>951</v>
      </c>
      <c r="C25" s="9" t="s">
        <v>952</v>
      </c>
      <c r="D25" s="6"/>
      <c r="E25" s="9" t="s">
        <v>844</v>
      </c>
      <c r="F25" s="6"/>
      <c r="G25" s="9" t="s">
        <v>845</v>
      </c>
      <c r="H25" s="6" t="s">
        <v>711</v>
      </c>
      <c r="I25" s="6"/>
      <c r="J25" s="6"/>
      <c r="K25" s="6"/>
      <c r="L25" s="6"/>
      <c r="M25" s="6"/>
      <c r="N25" s="6"/>
      <c r="O25" s="6"/>
      <c r="P25" s="6" t="s">
        <v>59</v>
      </c>
      <c r="Q25" s="6" t="s">
        <v>65</v>
      </c>
      <c r="R25" s="6"/>
      <c r="S25" s="6"/>
      <c r="T25" s="6" t="str">
        <f ca="1">IF($C25="","",IF($V25="","No digits at all - enter a phone number",IF(NOT(SUMPRODUCT(--ISNUMBER(--MID($V25,ROW(INDIRECT("1:"&amp;LEN($V25))),1)))=LEN($V25)),"Digits only - no letters or symbols (+ ( ) - . and spaces are tolerated)",IF(LEN($V25)&lt;8,"Too short - "&amp;LEN($V25)&amp;" digits (min 8)",IF(LEN($V25)&gt;15,"Too long - "&amp;LEN($V25)&amp;" digits (max 15)",IF($H25="","WARNING: SIM_Country is empty - cannot check the country code",IF(ISNA(MATCH($H25,tblCountries[Name],0)),IF(ISNA(MATCH(TRIM(SUBSTITUTE($H25,CHAR(160)," ")),tblCountries[Name],0)),"WARNING: SIM_Country """&amp;$H25&amp;""" is not in tblCountries","WARNING: SIM_Country """&amp;$H25&amp;""" has stray spaces around it (usually from a paste) - retype it or pick it from the dropdown"),IF(LEFT($V25,LEN(TEXT(INDEX(tblCountries[DialCode],MATCH($H25,tblCountries[Name],0)),"0")))&lt;&gt;TEXT(INDEX(tblCountries[DialCode],MATCH($H25,tblCountries[Name],0)),"0"),"Wrong country code - must start with +"&amp;TEXT(INDEX(tblCountries[DialCode],MATCH($H25,tblCountries[Name],0)),"0")&amp;" for "&amp;$H25,"OK"))))))))</f>
        <v>OK</v>
      </c>
      <c r="U25" s="9" t="s">
        <v>953</v>
      </c>
      <c r="V25" s="11" t="str">
        <f t="shared" si="0"/>
        <v>46701234567</v>
      </c>
      <c r="W25" s="6" t="str">
        <f t="shared" ca="1" si="1"/>
        <v>OK</v>
      </c>
      <c r="X25" s="6" t="str">
        <f t="shared" ca="1" si="2"/>
        <v>WARNING: Luhn check digit does not match - likely a typo or a transposition</v>
      </c>
      <c r="Y25" s="6" t="str">
        <f t="shared" ca="1" si="3"/>
        <v>OK</v>
      </c>
      <c r="Z25" s="6" t="str">
        <f>IF($P25="","",IF(SUMPRODUCT(--EXACT($P25,Config!$G$2:$G$4))&gt;0,"OK",IF(NOT(ISNA(MATCH($P25,Config!$G$2:$G$4,0))),"WARNING: wrong capitalisation - should be """&amp;INDEX(Config!$G$2:$G$4,MATCH($P25,Config!$G$2:$G$4,0))&amp;""" exactly","Must be one of: Active, Deactivated, Suspended")))</f>
        <v>OK</v>
      </c>
      <c r="AA25" s="6" t="str">
        <f>IF($Q25="","",IF(SUMPRODUCT(--EXACT($Q25,Config!$H$2:$H$3))&gt;0,"OK",IF(NOT(ISNA(MATCH($Q25,Config!$H$2:$H$3,0))),"WARNING: wrong capitalisation - should be """&amp;INDEX(Config!$H$2:$H$3,MATCH($Q25,Config!$H$2:$H$3,0))&amp;""" exactly","Must be one of: eSIM, Physical SIM")))</f>
        <v>OK</v>
      </c>
      <c r="AB25" s="6" t="str">
        <f t="shared" ca="1" si="4"/>
        <v>IMEI: WARNING: Luhn check digit does not match - likely a typo or a transposition</v>
      </c>
      <c r="AC25" s="6"/>
      <c r="AD25" s="7" t="s">
        <v>954</v>
      </c>
    </row>
    <row r="26" spans="1:30" x14ac:dyDescent="0.35">
      <c r="A26" s="6" t="s">
        <v>955</v>
      </c>
      <c r="B26" s="6" t="s">
        <v>956</v>
      </c>
      <c r="C26" s="9" t="s">
        <v>957</v>
      </c>
      <c r="D26" s="6"/>
      <c r="E26" s="9" t="s">
        <v>844</v>
      </c>
      <c r="F26" s="6"/>
      <c r="G26" s="9" t="s">
        <v>958</v>
      </c>
      <c r="H26" s="6" t="s">
        <v>315</v>
      </c>
      <c r="I26" s="6"/>
      <c r="J26" s="6"/>
      <c r="K26" s="6"/>
      <c r="L26" s="6"/>
      <c r="M26" s="6"/>
      <c r="N26" s="6"/>
      <c r="O26" s="6"/>
      <c r="P26" s="6" t="s">
        <v>59</v>
      </c>
      <c r="Q26" s="6" t="s">
        <v>60</v>
      </c>
      <c r="R26" s="6"/>
      <c r="S26" s="6"/>
      <c r="T26" s="6" t="str">
        <f ca="1">IF($C26="","",IF($V26="","No digits at all - enter a phone number",IF(NOT(SUMPRODUCT(--ISNUMBER(--MID($V26,ROW(INDIRECT("1:"&amp;LEN($V26))),1)))=LEN($V26)),"Digits only - no letters or symbols (+ ( ) - . and spaces are tolerated)",IF(LEN($V26)&lt;8,"Too short - "&amp;LEN($V26)&amp;" digits (min 8)",IF(LEN($V26)&gt;15,"Too long - "&amp;LEN($V26)&amp;" digits (max 15)",IF($H26="","WARNING: SIM_Country is empty - cannot check the country code",IF(ISNA(MATCH($H26,tblCountries[Name],0)),IF(ISNA(MATCH(TRIM(SUBSTITUTE($H26,CHAR(160)," ")),tblCountries[Name],0)),"WARNING: SIM_Country """&amp;$H26&amp;""" is not in tblCountries","WARNING: SIM_Country """&amp;$H26&amp;""" has stray spaces around it (usually from a paste) - retype it or pick it from the dropdown"),IF(LEFT($V26,LEN(TEXT(INDEX(tblCountries[DialCode],MATCH($H26,tblCountries[Name],0)),"0")))&lt;&gt;TEXT(INDEX(tblCountries[DialCode],MATCH($H26,tblCountries[Name],0)),"0"),"Wrong country code - must start with +"&amp;TEXT(INDEX(tblCountries[DialCode],MATCH($H26,tblCountries[Name],0)),"0")&amp;" for "&amp;$H26,"OK"))))))))</f>
        <v>OK</v>
      </c>
      <c r="U26" s="9" t="s">
        <v>846</v>
      </c>
      <c r="V26" s="11" t="str">
        <f t="shared" si="0"/>
        <v>4915112345678</v>
      </c>
      <c r="W26" s="6" t="str">
        <f t="shared" ca="1" si="1"/>
        <v>OK</v>
      </c>
      <c r="X26" s="6" t="str">
        <f t="shared" ca="1" si="2"/>
        <v>OK</v>
      </c>
      <c r="Y26" s="6" t="str">
        <f t="shared" ca="1" si="3"/>
        <v>Looks like yyyy-mm-dd - StartDate must put the DAY first: dd-mm-yyyy</v>
      </c>
      <c r="Z26" s="6" t="str">
        <f>IF($P26="","",IF(SUMPRODUCT(--EXACT($P26,Config!$G$2:$G$4))&gt;0,"OK",IF(NOT(ISNA(MATCH($P26,Config!$G$2:$G$4,0))),"WARNING: wrong capitalisation - should be """&amp;INDEX(Config!$G$2:$G$4,MATCH($P26,Config!$G$2:$G$4,0))&amp;""" exactly","Must be one of: Active, Deactivated, Suspended")))</f>
        <v>OK</v>
      </c>
      <c r="AA26" s="6" t="str">
        <f>IF($Q26="","",IF(SUMPRODUCT(--EXACT($Q26,Config!$H$2:$H$3))&gt;0,"OK",IF(NOT(ISNA(MATCH($Q26,Config!$H$2:$H$3,0))),"WARNING: wrong capitalisation - should be """&amp;INDEX(Config!$H$2:$H$3,MATCH($Q26,Config!$H$2:$H$3,0))&amp;""" exactly","Must be one of: eSIM, Physical SIM")))</f>
        <v>OK</v>
      </c>
      <c r="AB26" s="6" t="str">
        <f t="shared" ca="1" si="4"/>
        <v>StartDate: Looks like yyyy-mm-dd - StartDate must put the DAY first: dd-mm-yyyy</v>
      </c>
      <c r="AC26" s="6"/>
      <c r="AD26" s="7" t="s">
        <v>959</v>
      </c>
    </row>
    <row r="27" spans="1:30" x14ac:dyDescent="0.35">
      <c r="A27" s="6" t="s">
        <v>960</v>
      </c>
      <c r="B27" s="6" t="s">
        <v>961</v>
      </c>
      <c r="C27" s="9" t="s">
        <v>962</v>
      </c>
      <c r="D27" s="6"/>
      <c r="E27" s="9" t="s">
        <v>844</v>
      </c>
      <c r="F27" s="6"/>
      <c r="G27" s="9" t="s">
        <v>963</v>
      </c>
      <c r="H27" s="6" t="s">
        <v>603</v>
      </c>
      <c r="I27" s="6"/>
      <c r="J27" s="6"/>
      <c r="K27" s="6"/>
      <c r="L27" s="6"/>
      <c r="M27" s="6"/>
      <c r="N27" s="6"/>
      <c r="O27" s="6"/>
      <c r="P27" s="6" t="s">
        <v>59</v>
      </c>
      <c r="Q27" s="6" t="s">
        <v>60</v>
      </c>
      <c r="R27" s="6"/>
      <c r="S27" s="6"/>
      <c r="T27" s="6" t="str">
        <f ca="1">IF($C27="","",IF($V27="","No digits at all - enter a phone number",IF(NOT(SUMPRODUCT(--ISNUMBER(--MID($V27,ROW(INDIRECT("1:"&amp;LEN($V27))),1)))=LEN($V27)),"Digits only - no letters or symbols (+ ( ) - . and spaces are tolerated)",IF(LEN($V27)&lt;8,"Too short - "&amp;LEN($V27)&amp;" digits (min 8)",IF(LEN($V27)&gt;15,"Too long - "&amp;LEN($V27)&amp;" digits (max 15)",IF($H27="","WARNING: SIM_Country is empty - cannot check the country code",IF(ISNA(MATCH($H27,tblCountries[Name],0)),IF(ISNA(MATCH(TRIM(SUBSTITUTE($H27,CHAR(160)," ")),tblCountries[Name],0)),"WARNING: SIM_Country """&amp;$H27&amp;""" is not in tblCountries","WARNING: SIM_Country """&amp;$H27&amp;""" has stray spaces around it (usually from a paste) - retype it or pick it from the dropdown"),IF(LEFT($V27,LEN(TEXT(INDEX(tblCountries[DialCode],MATCH($H27,tblCountries[Name],0)),"0")))&lt;&gt;TEXT(INDEX(tblCountries[DialCode],MATCH($H27,tblCountries[Name],0)),"0"),"Wrong country code - must start with +"&amp;TEXT(INDEX(tblCountries[DialCode],MATCH($H27,tblCountries[Name],0)),"0")&amp;" for "&amp;$H27,"OK"))))))))</f>
        <v>OK</v>
      </c>
      <c r="U27" s="9" t="s">
        <v>846</v>
      </c>
      <c r="V27" s="11" t="str">
        <f t="shared" si="0"/>
        <v>351912345679</v>
      </c>
      <c r="W27" s="6" t="str">
        <f t="shared" ca="1" si="1"/>
        <v>OK</v>
      </c>
      <c r="X27" s="6" t="str">
        <f t="shared" ca="1" si="2"/>
        <v>OK</v>
      </c>
      <c r="Y27" s="6" t="str">
        <f t="shared" ca="1" si="3"/>
        <v>Not a real calendar date (e.g. 31-02 or 30-02)</v>
      </c>
      <c r="Z27" s="6" t="str">
        <f>IF($P27="","",IF(SUMPRODUCT(--EXACT($P27,Config!$G$2:$G$4))&gt;0,"OK",IF(NOT(ISNA(MATCH($P27,Config!$G$2:$G$4,0))),"WARNING: wrong capitalisation - should be """&amp;INDEX(Config!$G$2:$G$4,MATCH($P27,Config!$G$2:$G$4,0))&amp;""" exactly","Must be one of: Active, Deactivated, Suspended")))</f>
        <v>OK</v>
      </c>
      <c r="AA27" s="6" t="str">
        <f>IF($Q27="","",IF(SUMPRODUCT(--EXACT($Q27,Config!$H$2:$H$3))&gt;0,"OK",IF(NOT(ISNA(MATCH($Q27,Config!$H$2:$H$3,0))),"WARNING: wrong capitalisation - should be """&amp;INDEX(Config!$H$2:$H$3,MATCH($Q27,Config!$H$2:$H$3,0))&amp;""" exactly","Must be one of: eSIM, Physical SIM")))</f>
        <v>OK</v>
      </c>
      <c r="AB27" s="6" t="str">
        <f t="shared" ca="1" si="4"/>
        <v>StartDate: Not a real calendar date (e.g. 31-02 or 30-02)</v>
      </c>
      <c r="AC27" s="6"/>
      <c r="AD27" s="7" t="s">
        <v>964</v>
      </c>
    </row>
    <row r="28" spans="1:30" x14ac:dyDescent="0.35">
      <c r="A28" s="6" t="s">
        <v>965</v>
      </c>
      <c r="B28" s="6" t="s">
        <v>966</v>
      </c>
      <c r="C28" s="9" t="s">
        <v>967</v>
      </c>
      <c r="D28" s="6"/>
      <c r="E28" s="9" t="s">
        <v>844</v>
      </c>
      <c r="F28" s="6"/>
      <c r="G28" s="9" t="s">
        <v>968</v>
      </c>
      <c r="H28" s="6" t="s">
        <v>387</v>
      </c>
      <c r="I28" s="6"/>
      <c r="J28" s="6"/>
      <c r="K28" s="6"/>
      <c r="L28" s="6"/>
      <c r="M28" s="6"/>
      <c r="N28" s="6"/>
      <c r="O28" s="6"/>
      <c r="P28" s="6" t="s">
        <v>59</v>
      </c>
      <c r="Q28" s="6" t="s">
        <v>60</v>
      </c>
      <c r="R28" s="6"/>
      <c r="S28" s="6"/>
      <c r="T28" s="6" t="str">
        <f ca="1">IF($C28="","",IF($V28="","No digits at all - enter a phone number",IF(NOT(SUMPRODUCT(--ISNUMBER(--MID($V28,ROW(INDIRECT("1:"&amp;LEN($V28))),1)))=LEN($V28)),"Digits only - no letters or symbols (+ ( ) - . and spaces are tolerated)",IF(LEN($V28)&lt;8,"Too short - "&amp;LEN($V28)&amp;" digits (min 8)",IF(LEN($V28)&gt;15,"Too long - "&amp;LEN($V28)&amp;" digits (max 15)",IF($H28="","WARNING: SIM_Country is empty - cannot check the country code",IF(ISNA(MATCH($H28,tblCountries[Name],0)),IF(ISNA(MATCH(TRIM(SUBSTITUTE($H28,CHAR(160)," ")),tblCountries[Name],0)),"WARNING: SIM_Country """&amp;$H28&amp;""" is not in tblCountries","WARNING: SIM_Country """&amp;$H28&amp;""" has stray spaces around it (usually from a paste) - retype it or pick it from the dropdown"),IF(LEFT($V28,LEN(TEXT(INDEX(tblCountries[DialCode],MATCH($H28,tblCountries[Name],0)),"0")))&lt;&gt;TEXT(INDEX(tblCountries[DialCode],MATCH($H28,tblCountries[Name],0)),"0"),"Wrong country code - must start with +"&amp;TEXT(INDEX(tblCountries[DialCode],MATCH($H28,tblCountries[Name],0)),"0")&amp;" for "&amp;$H28,"OK"))))))))</f>
        <v>OK</v>
      </c>
      <c r="U28" s="9" t="s">
        <v>846</v>
      </c>
      <c r="V28" s="11" t="str">
        <f t="shared" si="0"/>
        <v>353871234567</v>
      </c>
      <c r="W28" s="6" t="str">
        <f t="shared" ca="1" si="1"/>
        <v>OK</v>
      </c>
      <c r="X28" s="6" t="str">
        <f t="shared" ca="1" si="2"/>
        <v>OK</v>
      </c>
      <c r="Y28" s="6" t="str">
        <f t="shared" ca="1" si="3"/>
        <v>OK</v>
      </c>
      <c r="Z28" s="6" t="str">
        <f>IF($P28="","",IF(SUMPRODUCT(--EXACT($P28,Config!$G$2:$G$4))&gt;0,"OK",IF(NOT(ISNA(MATCH($P28,Config!$G$2:$G$4,0))),"WARNING: wrong capitalisation - should be """&amp;INDEX(Config!$G$2:$G$4,MATCH($P28,Config!$G$2:$G$4,0))&amp;""" exactly","Must be one of: Active, Deactivated, Suspended")))</f>
        <v>OK</v>
      </c>
      <c r="AA28" s="6" t="str">
        <f>IF($Q28="","",IF(SUMPRODUCT(--EXACT($Q28,Config!$H$2:$H$3))&gt;0,"OK",IF(NOT(ISNA(MATCH($Q28,Config!$H$2:$H$3,0))),"WARNING: wrong capitalisation - should be """&amp;INDEX(Config!$H$2:$H$3,MATCH($Q28,Config!$H$2:$H$3,0))&amp;""" exactly","Must be one of: eSIM, Physical SIM")))</f>
        <v>OK</v>
      </c>
      <c r="AB28" s="6" t="str">
        <f t="shared" ca="1" si="4"/>
        <v>OK</v>
      </c>
      <c r="AC28" s="6"/>
      <c r="AD28" s="7" t="s">
        <v>969</v>
      </c>
    </row>
    <row r="29" spans="1:30" x14ac:dyDescent="0.35">
      <c r="A29" s="6" t="s">
        <v>970</v>
      </c>
      <c r="B29" s="6" t="s">
        <v>971</v>
      </c>
      <c r="C29" s="9" t="s">
        <v>972</v>
      </c>
      <c r="D29" s="6"/>
      <c r="E29" s="9" t="s">
        <v>844</v>
      </c>
      <c r="F29" s="6"/>
      <c r="G29" s="10">
        <v>46096</v>
      </c>
      <c r="H29" s="6" t="s">
        <v>231</v>
      </c>
      <c r="I29" s="6"/>
      <c r="J29" s="6"/>
      <c r="K29" s="6"/>
      <c r="L29" s="6"/>
      <c r="M29" s="6"/>
      <c r="N29" s="6"/>
      <c r="O29" s="6"/>
      <c r="P29" s="6" t="s">
        <v>59</v>
      </c>
      <c r="Q29" s="6" t="s">
        <v>60</v>
      </c>
      <c r="R29" s="6"/>
      <c r="S29" s="6"/>
      <c r="T29" s="6" t="str">
        <f ca="1">IF($C29="","",IF($V29="","No digits at all - enter a phone number",IF(NOT(SUMPRODUCT(--ISNUMBER(--MID($V29,ROW(INDIRECT("1:"&amp;LEN($V29))),1)))=LEN($V29)),"Digits only - no letters or symbols (+ ( ) - . and spaces are tolerated)",IF(LEN($V29)&lt;8,"Too short - "&amp;LEN($V29)&amp;" digits (min 8)",IF(LEN($V29)&gt;15,"Too long - "&amp;LEN($V29)&amp;" digits (max 15)",IF($H29="","WARNING: SIM_Country is empty - cannot check the country code",IF(ISNA(MATCH($H29,tblCountries[Name],0)),IF(ISNA(MATCH(TRIM(SUBSTITUTE($H29,CHAR(160)," ")),tblCountries[Name],0)),"WARNING: SIM_Country """&amp;$H29&amp;""" is not in tblCountries","WARNING: SIM_Country """&amp;$H29&amp;""" has stray spaces around it (usually from a paste) - retype it or pick it from the dropdown"),IF(LEFT($V29,LEN(TEXT(INDEX(tblCountries[DialCode],MATCH($H29,tblCountries[Name],0)),"0")))&lt;&gt;TEXT(INDEX(tblCountries[DialCode],MATCH($H29,tblCountries[Name],0)),"0"),"Wrong country code - must start with +"&amp;TEXT(INDEX(tblCountries[DialCode],MATCH($H29,tblCountries[Name],0)),"0")&amp;" for "&amp;$H29,"OK"))))))))</f>
        <v>OK</v>
      </c>
      <c r="U29" s="9" t="s">
        <v>846</v>
      </c>
      <c r="V29" s="11" t="str">
        <f t="shared" si="0"/>
        <v>385911234567</v>
      </c>
      <c r="W29" s="6" t="str">
        <f t="shared" ca="1" si="1"/>
        <v>OK</v>
      </c>
      <c r="X29" s="6" t="str">
        <f t="shared" ca="1" si="2"/>
        <v>OK</v>
      </c>
      <c r="Y29" s="6" t="str">
        <f t="shared" ca="1" si="3"/>
        <v>OK</v>
      </c>
      <c r="Z29" s="6" t="str">
        <f>IF($P29="","",IF(SUMPRODUCT(--EXACT($P29,Config!$G$2:$G$4))&gt;0,"OK",IF(NOT(ISNA(MATCH($P29,Config!$G$2:$G$4,0))),"WARNING: wrong capitalisation - should be """&amp;INDEX(Config!$G$2:$G$4,MATCH($P29,Config!$G$2:$G$4,0))&amp;""" exactly","Must be one of: Active, Deactivated, Suspended")))</f>
        <v>OK</v>
      </c>
      <c r="AA29" s="6" t="str">
        <f>IF($Q29="","",IF(SUMPRODUCT(--EXACT($Q29,Config!$H$2:$H$3))&gt;0,"OK",IF(NOT(ISNA(MATCH($Q29,Config!$H$2:$H$3,0))),"WARNING: wrong capitalisation - should be """&amp;INDEX(Config!$H$2:$H$3,MATCH($Q29,Config!$H$2:$H$3,0))&amp;""" exactly","Must be one of: eSIM, Physical SIM")))</f>
        <v>OK</v>
      </c>
      <c r="AB29" s="6" t="str">
        <f t="shared" ca="1" si="4"/>
        <v>OK</v>
      </c>
      <c r="AC29" s="6"/>
      <c r="AD29" s="7" t="s">
        <v>973</v>
      </c>
    </row>
    <row r="30" spans="1:30" x14ac:dyDescent="0.35">
      <c r="A30" s="6" t="s">
        <v>974</v>
      </c>
      <c r="B30" s="6" t="s">
        <v>975</v>
      </c>
      <c r="C30" s="9" t="s">
        <v>976</v>
      </c>
      <c r="D30" s="6"/>
      <c r="E30" s="9" t="s">
        <v>844</v>
      </c>
      <c r="F30" s="6"/>
      <c r="G30" s="9" t="s">
        <v>977</v>
      </c>
      <c r="H30" s="6" t="s">
        <v>678</v>
      </c>
      <c r="I30" s="6"/>
      <c r="J30" s="6"/>
      <c r="K30" s="6"/>
      <c r="L30" s="6"/>
      <c r="M30" s="6"/>
      <c r="N30" s="6"/>
      <c r="O30" s="6"/>
      <c r="P30" s="6" t="s">
        <v>59</v>
      </c>
      <c r="Q30" s="6" t="s">
        <v>60</v>
      </c>
      <c r="R30" s="6"/>
      <c r="S30" s="6"/>
      <c r="T30" s="6" t="str">
        <f ca="1">IF($C30="","",IF($V30="","No digits at all - enter a phone number",IF(NOT(SUMPRODUCT(--ISNUMBER(--MID($V30,ROW(INDIRECT("1:"&amp;LEN($V30))),1)))=LEN($V30)),"Digits only - no letters or symbols (+ ( ) - . and spaces are tolerated)",IF(LEN($V30)&lt;8,"Too short - "&amp;LEN($V30)&amp;" digits (min 8)",IF(LEN($V30)&gt;15,"Too long - "&amp;LEN($V30)&amp;" digits (max 15)",IF($H30="","WARNING: SIM_Country is empty - cannot check the country code",IF(ISNA(MATCH($H30,tblCountries[Name],0)),IF(ISNA(MATCH(TRIM(SUBSTITUTE($H30,CHAR(160)," ")),tblCountries[Name],0)),"WARNING: SIM_Country """&amp;$H30&amp;""" is not in tblCountries","WARNING: SIM_Country """&amp;$H30&amp;""" has stray spaces around it (usually from a paste) - retype it or pick it from the dropdown"),IF(LEFT($V30,LEN(TEXT(INDEX(tblCountries[DialCode],MATCH($H30,tblCountries[Name],0)),"0")))&lt;&gt;TEXT(INDEX(tblCountries[DialCode],MATCH($H30,tblCountries[Name],0)),"0"),"Wrong country code - must start with +"&amp;TEXT(INDEX(tblCountries[DialCode],MATCH($H30,tblCountries[Name],0)),"0")&amp;" for "&amp;$H30,"OK"))))))))</f>
        <v>OK</v>
      </c>
      <c r="U30" s="9" t="s">
        <v>846</v>
      </c>
      <c r="V30" s="11" t="str">
        <f t="shared" si="0"/>
        <v>386401234567</v>
      </c>
      <c r="W30" s="6" t="str">
        <f t="shared" ca="1" si="1"/>
        <v>OK</v>
      </c>
      <c r="X30" s="6" t="str">
        <f t="shared" ca="1" si="2"/>
        <v>OK</v>
      </c>
      <c r="Y30" s="6" t="str">
        <f t="shared" ca="1" si="3"/>
        <v>Must be dd-mm-yyyy - 10 characters, this one has 8</v>
      </c>
      <c r="Z30" s="6" t="str">
        <f>IF($P30="","",IF(SUMPRODUCT(--EXACT($P30,Config!$G$2:$G$4))&gt;0,"OK",IF(NOT(ISNA(MATCH($P30,Config!$G$2:$G$4,0))),"WARNING: wrong capitalisation - should be """&amp;INDEX(Config!$G$2:$G$4,MATCH($P30,Config!$G$2:$G$4,0))&amp;""" exactly","Must be one of: Active, Deactivated, Suspended")))</f>
        <v>OK</v>
      </c>
      <c r="AA30" s="6" t="str">
        <f>IF($Q30="","",IF(SUMPRODUCT(--EXACT($Q30,Config!$H$2:$H$3))&gt;0,"OK",IF(NOT(ISNA(MATCH($Q30,Config!$H$2:$H$3,0))),"WARNING: wrong capitalisation - should be """&amp;INDEX(Config!$H$2:$H$3,MATCH($Q30,Config!$H$2:$H$3,0))&amp;""" exactly","Must be one of: eSIM, Physical SIM")))</f>
        <v>OK</v>
      </c>
      <c r="AB30" s="6" t="str">
        <f t="shared" ca="1" si="4"/>
        <v>StartDate: Must be dd-mm-yyyy - 10 characters, this one has 8</v>
      </c>
      <c r="AC30" s="6"/>
      <c r="AD30" s="7" t="s">
        <v>978</v>
      </c>
    </row>
    <row r="31" spans="1:30" x14ac:dyDescent="0.35">
      <c r="A31" s="6" t="s">
        <v>979</v>
      </c>
      <c r="B31" s="6" t="s">
        <v>980</v>
      </c>
      <c r="C31" s="9" t="s">
        <v>981</v>
      </c>
      <c r="D31" s="6"/>
      <c r="E31" s="9" t="s">
        <v>844</v>
      </c>
      <c r="F31" s="6"/>
      <c r="G31" s="9" t="s">
        <v>845</v>
      </c>
      <c r="H31" s="6" t="s">
        <v>315</v>
      </c>
      <c r="I31" s="6"/>
      <c r="J31" s="6"/>
      <c r="K31" s="6"/>
      <c r="L31" s="6"/>
      <c r="M31" s="6"/>
      <c r="N31" s="6"/>
      <c r="O31" s="6"/>
      <c r="P31" s="6" t="s">
        <v>982</v>
      </c>
      <c r="Q31" s="6" t="s">
        <v>60</v>
      </c>
      <c r="R31" s="6"/>
      <c r="S31" s="6"/>
      <c r="T31" s="6" t="str">
        <f ca="1">IF($C31="","",IF($V31="","No digits at all - enter a phone number",IF(NOT(SUMPRODUCT(--ISNUMBER(--MID($V31,ROW(INDIRECT("1:"&amp;LEN($V31))),1)))=LEN($V31)),"Digits only - no letters or symbols (+ ( ) - . and spaces are tolerated)",IF(LEN($V31)&lt;8,"Too short - "&amp;LEN($V31)&amp;" digits (min 8)",IF(LEN($V31)&gt;15,"Too long - "&amp;LEN($V31)&amp;" digits (max 15)",IF($H31="","WARNING: SIM_Country is empty - cannot check the country code",IF(ISNA(MATCH($H31,tblCountries[Name],0)),IF(ISNA(MATCH(TRIM(SUBSTITUTE($H31,CHAR(160)," ")),tblCountries[Name],0)),"WARNING: SIM_Country """&amp;$H31&amp;""" is not in tblCountries","WARNING: SIM_Country """&amp;$H31&amp;""" has stray spaces around it (usually from a paste) - retype it or pick it from the dropdown"),IF(LEFT($V31,LEN(TEXT(INDEX(tblCountries[DialCode],MATCH($H31,tblCountries[Name],0)),"0")))&lt;&gt;TEXT(INDEX(tblCountries[DialCode],MATCH($H31,tblCountries[Name],0)),"0"),"Wrong country code - must start with +"&amp;TEXT(INDEX(tblCountries[DialCode],MATCH($H31,tblCountries[Name],0)),"0")&amp;" for "&amp;$H31,"OK"))))))))</f>
        <v>OK</v>
      </c>
      <c r="U31" s="9" t="s">
        <v>846</v>
      </c>
      <c r="V31" s="11" t="str">
        <f t="shared" si="0"/>
        <v>4915112345679</v>
      </c>
      <c r="W31" s="6" t="str">
        <f t="shared" ca="1" si="1"/>
        <v>OK</v>
      </c>
      <c r="X31" s="6" t="str">
        <f t="shared" ca="1" si="2"/>
        <v>OK</v>
      </c>
      <c r="Y31" s="6" t="str">
        <f t="shared" ca="1" si="3"/>
        <v>OK</v>
      </c>
      <c r="Z31" s="6" t="str">
        <f>IF($P31="","",IF(SUMPRODUCT(--EXACT($P31,Config!$G$2:$G$4))&gt;0,"OK",IF(NOT(ISNA(MATCH($P31,Config!$G$2:$G$4,0))),"WARNING: wrong capitalisation - should be """&amp;INDEX(Config!$G$2:$G$4,MATCH($P31,Config!$G$2:$G$4,0))&amp;""" exactly","Must be one of: Active, Deactivated, Suspended")))</f>
        <v>WARNING: wrong capitalisation - should be "Active" exactly</v>
      </c>
      <c r="AA31" s="6" t="str">
        <f>IF($Q31="","",IF(SUMPRODUCT(--EXACT($Q31,Config!$H$2:$H$3))&gt;0,"OK",IF(NOT(ISNA(MATCH($Q31,Config!$H$2:$H$3,0))),"WARNING: wrong capitalisation - should be """&amp;INDEX(Config!$H$2:$H$3,MATCH($Q31,Config!$H$2:$H$3,0))&amp;""" exactly","Must be one of: eSIM, Physical SIM")))</f>
        <v>OK</v>
      </c>
      <c r="AB31" s="6" t="str">
        <f t="shared" ca="1" si="4"/>
        <v>Status: WARNING: wrong capitalisation - should be "Active" exactly</v>
      </c>
      <c r="AC31" s="6"/>
      <c r="AD31" s="7" t="s">
        <v>983</v>
      </c>
    </row>
    <row r="32" spans="1:30" x14ac:dyDescent="0.35">
      <c r="A32" s="6" t="s">
        <v>984</v>
      </c>
      <c r="B32" s="6" t="s">
        <v>985</v>
      </c>
      <c r="C32" s="9" t="s">
        <v>986</v>
      </c>
      <c r="D32" s="6"/>
      <c r="E32" s="9" t="s">
        <v>844</v>
      </c>
      <c r="F32" s="6"/>
      <c r="G32" s="9" t="s">
        <v>845</v>
      </c>
      <c r="H32" s="6" t="s">
        <v>696</v>
      </c>
      <c r="I32" s="6"/>
      <c r="J32" s="6"/>
      <c r="K32" s="6"/>
      <c r="L32" s="6"/>
      <c r="M32" s="6"/>
      <c r="N32" s="6"/>
      <c r="O32" s="6"/>
      <c r="P32" s="6" t="s">
        <v>987</v>
      </c>
      <c r="Q32" s="6" t="s">
        <v>60</v>
      </c>
      <c r="R32" s="6"/>
      <c r="S32" s="6"/>
      <c r="T32" s="6" t="str">
        <f ca="1">IF($C32="","",IF($V32="","No digits at all - enter a phone number",IF(NOT(SUMPRODUCT(--ISNUMBER(--MID($V32,ROW(INDIRECT("1:"&amp;LEN($V32))),1)))=LEN($V32)),"Digits only - no letters or symbols (+ ( ) - . and spaces are tolerated)",IF(LEN($V32)&lt;8,"Too short - "&amp;LEN($V32)&amp;" digits (min 8)",IF(LEN($V32)&gt;15,"Too long - "&amp;LEN($V32)&amp;" digits (max 15)",IF($H32="","WARNING: SIM_Country is empty - cannot check the country code",IF(ISNA(MATCH($H32,tblCountries[Name],0)),IF(ISNA(MATCH(TRIM(SUBSTITUTE($H32,CHAR(160)," ")),tblCountries[Name],0)),"WARNING: SIM_Country """&amp;$H32&amp;""" is not in tblCountries","WARNING: SIM_Country """&amp;$H32&amp;""" has stray spaces around it (usually from a paste) - retype it or pick it from the dropdown"),IF(LEFT($V32,LEN(TEXT(INDEX(tblCountries[DialCode],MATCH($H32,tblCountries[Name],0)),"0")))&lt;&gt;TEXT(INDEX(tblCountries[DialCode],MATCH($H32,tblCountries[Name],0)),"0"),"Wrong country code - must start with +"&amp;TEXT(INDEX(tblCountries[DialCode],MATCH($H32,tblCountries[Name],0)),"0")&amp;" for "&amp;$H32,"OK"))))))))</f>
        <v>OK</v>
      </c>
      <c r="U32" s="9" t="s">
        <v>846</v>
      </c>
      <c r="V32" s="11" t="str">
        <f t="shared" si="0"/>
        <v>34612345678</v>
      </c>
      <c r="W32" s="6" t="str">
        <f t="shared" ca="1" si="1"/>
        <v>OK</v>
      </c>
      <c r="X32" s="6" t="str">
        <f t="shared" ca="1" si="2"/>
        <v>OK</v>
      </c>
      <c r="Y32" s="6" t="str">
        <f t="shared" ca="1" si="3"/>
        <v>OK</v>
      </c>
      <c r="Z32" s="6" t="str">
        <f>IF($P32="","",IF(SUMPRODUCT(--EXACT($P32,Config!$G$2:$G$4))&gt;0,"OK",IF(NOT(ISNA(MATCH($P32,Config!$G$2:$G$4,0))),"WARNING: wrong capitalisation - should be """&amp;INDEX(Config!$G$2:$G$4,MATCH($P32,Config!$G$2:$G$4,0))&amp;""" exactly","Must be one of: Active, Deactivated, Suspended")))</f>
        <v>Must be one of: Active, Deactivated, Suspended</v>
      </c>
      <c r="AA32" s="6" t="str">
        <f>IF($Q32="","",IF(SUMPRODUCT(--EXACT($Q32,Config!$H$2:$H$3))&gt;0,"OK",IF(NOT(ISNA(MATCH($Q32,Config!$H$2:$H$3,0))),"WARNING: wrong capitalisation - should be """&amp;INDEX(Config!$H$2:$H$3,MATCH($Q32,Config!$H$2:$H$3,0))&amp;""" exactly","Must be one of: eSIM, Physical SIM")))</f>
        <v>OK</v>
      </c>
      <c r="AB32" s="6" t="str">
        <f t="shared" ca="1" si="4"/>
        <v>Status: Must be one of: Active, Deactivated, Suspended</v>
      </c>
      <c r="AC32" s="6"/>
      <c r="AD32" s="7" t="s">
        <v>988</v>
      </c>
    </row>
    <row r="33" spans="1:30" x14ac:dyDescent="0.35">
      <c r="A33" s="6" t="s">
        <v>989</v>
      </c>
      <c r="B33" s="6" t="s">
        <v>990</v>
      </c>
      <c r="C33" s="9" t="s">
        <v>991</v>
      </c>
      <c r="D33" s="6"/>
      <c r="E33" s="9" t="s">
        <v>844</v>
      </c>
      <c r="F33" s="6"/>
      <c r="G33" s="9" t="s">
        <v>845</v>
      </c>
      <c r="H33" s="6" t="s">
        <v>246</v>
      </c>
      <c r="I33" s="6"/>
      <c r="J33" s="6"/>
      <c r="K33" s="6"/>
      <c r="L33" s="6"/>
      <c r="M33" s="6"/>
      <c r="N33" s="6"/>
      <c r="O33" s="6"/>
      <c r="P33" s="6" t="s">
        <v>59</v>
      </c>
      <c r="Q33" s="6" t="s">
        <v>992</v>
      </c>
      <c r="R33" s="6"/>
      <c r="S33" s="6"/>
      <c r="T33" s="6" t="str">
        <f ca="1">IF($C33="","",IF($V33="","No digits at all - enter a phone number",IF(NOT(SUMPRODUCT(--ISNUMBER(--MID($V33,ROW(INDIRECT("1:"&amp;LEN($V33))),1)))=LEN($V33)),"Digits only - no letters or symbols (+ ( ) - . and spaces are tolerated)",IF(LEN($V33)&lt;8,"Too short - "&amp;LEN($V33)&amp;" digits (min 8)",IF(LEN($V33)&gt;15,"Too long - "&amp;LEN($V33)&amp;" digits (max 15)",IF($H33="","WARNING: SIM_Country is empty - cannot check the country code",IF(ISNA(MATCH($H33,tblCountries[Name],0)),IF(ISNA(MATCH(TRIM(SUBSTITUTE($H33,CHAR(160)," ")),tblCountries[Name],0)),"WARNING: SIM_Country """&amp;$H33&amp;""" is not in tblCountries","WARNING: SIM_Country """&amp;$H33&amp;""" has stray spaces around it (usually from a paste) - retype it or pick it from the dropdown"),IF(LEFT($V33,LEN(TEXT(INDEX(tblCountries[DialCode],MATCH($H33,tblCountries[Name],0)),"0")))&lt;&gt;TEXT(INDEX(tblCountries[DialCode],MATCH($H33,tblCountries[Name],0)),"0"),"Wrong country code - must start with +"&amp;TEXT(INDEX(tblCountries[DialCode],MATCH($H33,tblCountries[Name],0)),"0")&amp;" for "&amp;$H33,"OK"))))))))</f>
        <v>OK</v>
      </c>
      <c r="U33" s="9" t="s">
        <v>846</v>
      </c>
      <c r="V33" s="11" t="str">
        <f t="shared" si="0"/>
        <v>4531234567</v>
      </c>
      <c r="W33" s="6" t="str">
        <f t="shared" ca="1" si="1"/>
        <v>OK</v>
      </c>
      <c r="X33" s="6" t="str">
        <f t="shared" ca="1" si="2"/>
        <v>OK</v>
      </c>
      <c r="Y33" s="6" t="str">
        <f t="shared" ca="1" si="3"/>
        <v>OK</v>
      </c>
      <c r="Z33" s="6" t="str">
        <f>IF($P33="","",IF(SUMPRODUCT(--EXACT($P33,Config!$G$2:$G$4))&gt;0,"OK",IF(NOT(ISNA(MATCH($P33,Config!$G$2:$G$4,0))),"WARNING: wrong capitalisation - should be """&amp;INDEX(Config!$G$2:$G$4,MATCH($P33,Config!$G$2:$G$4,0))&amp;""" exactly","Must be one of: Active, Deactivated, Suspended")))</f>
        <v>OK</v>
      </c>
      <c r="AA33" s="6" t="str">
        <f>IF($Q33="","",IF(SUMPRODUCT(--EXACT($Q33,Config!$H$2:$H$3))&gt;0,"OK",IF(NOT(ISNA(MATCH($Q33,Config!$H$2:$H$3,0))),"WARNING: wrong capitalisation - should be """&amp;INDEX(Config!$H$2:$H$3,MATCH($Q33,Config!$H$2:$H$3,0))&amp;""" exactly","Must be one of: eSIM, Physical SIM")))</f>
        <v>WARNING: wrong capitalisation - should be "eSIM" exactly</v>
      </c>
      <c r="AB33" s="6" t="str">
        <f t="shared" ca="1" si="4"/>
        <v>SIM Type: WARNING: wrong capitalisation - should be "eSIM" exactly</v>
      </c>
      <c r="AC33" s="6"/>
      <c r="AD33" s="7" t="s">
        <v>993</v>
      </c>
    </row>
    <row r="34" spans="1:30" x14ac:dyDescent="0.35">
      <c r="A34" s="6" t="s">
        <v>994</v>
      </c>
      <c r="B34" s="6" t="s">
        <v>995</v>
      </c>
      <c r="C34" s="9" t="s">
        <v>996</v>
      </c>
      <c r="D34" s="6"/>
      <c r="E34" s="9" t="s">
        <v>844</v>
      </c>
      <c r="F34" s="6"/>
      <c r="G34" s="9" t="s">
        <v>845</v>
      </c>
      <c r="H34" s="6" t="s">
        <v>324</v>
      </c>
      <c r="I34" s="6"/>
      <c r="J34" s="6"/>
      <c r="K34" s="6"/>
      <c r="L34" s="6"/>
      <c r="M34" s="6"/>
      <c r="N34" s="6"/>
      <c r="O34" s="6"/>
      <c r="P34" s="6" t="s">
        <v>59</v>
      </c>
      <c r="Q34" s="6" t="s">
        <v>997</v>
      </c>
      <c r="R34" s="6"/>
      <c r="S34" s="6"/>
      <c r="T34" s="6" t="str">
        <f ca="1">IF($C34="","",IF($V34="","No digits at all - enter a phone number",IF(NOT(SUMPRODUCT(--ISNUMBER(--MID($V34,ROW(INDIRECT("1:"&amp;LEN($V34))),1)))=LEN($V34)),"Digits only - no letters or symbols (+ ( ) - . and spaces are tolerated)",IF(LEN($V34)&lt;8,"Too short - "&amp;LEN($V34)&amp;" digits (min 8)",IF(LEN($V34)&gt;15,"Too long - "&amp;LEN($V34)&amp;" digits (max 15)",IF($H34="","WARNING: SIM_Country is empty - cannot check the country code",IF(ISNA(MATCH($H34,tblCountries[Name],0)),IF(ISNA(MATCH(TRIM(SUBSTITUTE($H34,CHAR(160)," ")),tblCountries[Name],0)),"WARNING: SIM_Country """&amp;$H34&amp;""" is not in tblCountries","WARNING: SIM_Country """&amp;$H34&amp;""" has stray spaces around it (usually from a paste) - retype it or pick it from the dropdown"),IF(LEFT($V34,LEN(TEXT(INDEX(tblCountries[DialCode],MATCH($H34,tblCountries[Name],0)),"0")))&lt;&gt;TEXT(INDEX(tblCountries[DialCode],MATCH($H34,tblCountries[Name],0)),"0"),"Wrong country code - must start with +"&amp;TEXT(INDEX(tblCountries[DialCode],MATCH($H34,tblCountries[Name],0)),"0")&amp;" for "&amp;$H34,"OK"))))))))</f>
        <v>OK</v>
      </c>
      <c r="U34" s="9" t="s">
        <v>846</v>
      </c>
      <c r="V34" s="11" t="str">
        <f t="shared" si="0"/>
        <v>306901234567</v>
      </c>
      <c r="W34" s="6" t="str">
        <f t="shared" ca="1" si="1"/>
        <v>OK</v>
      </c>
      <c r="X34" s="6" t="str">
        <f t="shared" ca="1" si="2"/>
        <v>OK</v>
      </c>
      <c r="Y34" s="6" t="str">
        <f t="shared" ca="1" si="3"/>
        <v>OK</v>
      </c>
      <c r="Z34" s="6" t="str">
        <f>IF($P34="","",IF(SUMPRODUCT(--EXACT($P34,Config!$G$2:$G$4))&gt;0,"OK",IF(NOT(ISNA(MATCH($P34,Config!$G$2:$G$4,0))),"WARNING: wrong capitalisation - should be """&amp;INDEX(Config!$G$2:$G$4,MATCH($P34,Config!$G$2:$G$4,0))&amp;""" exactly","Must be one of: Active, Deactivated, Suspended")))</f>
        <v>OK</v>
      </c>
      <c r="AA34" s="6" t="str">
        <f>IF($Q34="","",IF(SUMPRODUCT(--EXACT($Q34,Config!$H$2:$H$3))&gt;0,"OK",IF(NOT(ISNA(MATCH($Q34,Config!$H$2:$H$3,0))),"WARNING: wrong capitalisation - should be """&amp;INDEX(Config!$H$2:$H$3,MATCH($Q34,Config!$H$2:$H$3,0))&amp;""" exactly","Must be one of: eSIM, Physical SIM")))</f>
        <v>Must be one of: eSIM, Physical SIM</v>
      </c>
      <c r="AB34" s="6" t="str">
        <f t="shared" ca="1" si="4"/>
        <v>SIM Type: Must be one of: eSIM, Physical SIM</v>
      </c>
      <c r="AC34" s="6"/>
      <c r="AD34" s="7" t="s">
        <v>998</v>
      </c>
    </row>
    <row r="35" spans="1:30" x14ac:dyDescent="0.35">
      <c r="A35" s="6" t="s">
        <v>999</v>
      </c>
      <c r="B35" s="6" t="s">
        <v>1000</v>
      </c>
      <c r="C35" s="9" t="s">
        <v>1001</v>
      </c>
      <c r="D35" s="6"/>
      <c r="E35" s="9">
        <v>8.9352012345678899E+18</v>
      </c>
      <c r="F35" s="6"/>
      <c r="G35" s="9" t="s">
        <v>845</v>
      </c>
      <c r="H35" s="6" t="s">
        <v>765</v>
      </c>
      <c r="I35" s="6"/>
      <c r="J35" s="6"/>
      <c r="K35" s="6"/>
      <c r="L35" s="6"/>
      <c r="M35" s="6"/>
      <c r="N35" s="6"/>
      <c r="O35" s="6"/>
      <c r="P35" s="6" t="s">
        <v>59</v>
      </c>
      <c r="Q35" s="6" t="s">
        <v>60</v>
      </c>
      <c r="R35" s="6"/>
      <c r="S35" s="6"/>
      <c r="T35" s="6" t="str">
        <f ca="1">IF($C35="","",IF($V35="","No digits at all - enter a phone number",IF(NOT(SUMPRODUCT(--ISNUMBER(--MID($V35,ROW(INDIRECT("1:"&amp;LEN($V35))),1)))=LEN($V35)),"Digits only - no letters or symbols (+ ( ) - . and spaces are tolerated)",IF(LEN($V35)&lt;8,"Too short - "&amp;LEN($V35)&amp;" digits (min 8)",IF(LEN($V35)&gt;15,"Too long - "&amp;LEN($V35)&amp;" digits (max 15)",IF($H35="","WARNING: SIM_Country is empty - cannot check the country code",IF(ISNA(MATCH($H35,tblCountries[Name],0)),IF(ISNA(MATCH(TRIM(SUBSTITUTE($H35,CHAR(160)," ")),tblCountries[Name],0)),"WARNING: SIM_Country """&amp;$H35&amp;""" is not in tblCountries","WARNING: SIM_Country """&amp;$H35&amp;""" has stray spaces around it (usually from a paste) - retype it or pick it from the dropdown"),IF(LEFT($V35,LEN(TEXT(INDEX(tblCountries[DialCode],MATCH($H35,tblCountries[Name],0)),"0")))&lt;&gt;TEXT(INDEX(tblCountries[DialCode],MATCH($H35,tblCountries[Name],0)),"0"),"Wrong country code - must start with +"&amp;TEXT(INDEX(tblCountries[DialCode],MATCH($H35,tblCountries[Name],0)),"0")&amp;" for "&amp;$H35,"OK"))))))))</f>
        <v>OK</v>
      </c>
      <c r="U35" s="9" t="s">
        <v>846</v>
      </c>
      <c r="V35" s="11" t="str">
        <f t="shared" si="0"/>
        <v>380501234567</v>
      </c>
      <c r="W35" s="6" t="str">
        <f t="shared" ca="1" si="1"/>
        <v>Stored as a NUMBER - every digit past the 15th is already lost. Format the column as Text and re-enter.</v>
      </c>
      <c r="X35" s="6" t="str">
        <f t="shared" ca="1" si="2"/>
        <v>OK</v>
      </c>
      <c r="Y35" s="6" t="str">
        <f t="shared" ca="1" si="3"/>
        <v>OK</v>
      </c>
      <c r="Z35" s="6" t="str">
        <f>IF($P35="","",IF(SUMPRODUCT(--EXACT($P35,Config!$G$2:$G$4))&gt;0,"OK",IF(NOT(ISNA(MATCH($P35,Config!$G$2:$G$4,0))),"WARNING: wrong capitalisation - should be """&amp;INDEX(Config!$G$2:$G$4,MATCH($P35,Config!$G$2:$G$4,0))&amp;""" exactly","Must be one of: Active, Deactivated, Suspended")))</f>
        <v>OK</v>
      </c>
      <c r="AA35" s="6" t="str">
        <f>IF($Q35="","",IF(SUMPRODUCT(--EXACT($Q35,Config!$H$2:$H$3))&gt;0,"OK",IF(NOT(ISNA(MATCH($Q35,Config!$H$2:$H$3,0))),"WARNING: wrong capitalisation - should be """&amp;INDEX(Config!$H$2:$H$3,MATCH($Q35,Config!$H$2:$H$3,0))&amp;""" exactly","Must be one of: eSIM, Physical SIM")))</f>
        <v>OK</v>
      </c>
      <c r="AB35" s="6" t="str">
        <f t="shared" ca="1" si="4"/>
        <v>ICC_ID: Stored as a NUMBER - every digit past the 15th is already lost. Format the column as Text and re-enter.</v>
      </c>
      <c r="AC35" s="6"/>
      <c r="AD35" s="7" t="s">
        <v>1002</v>
      </c>
    </row>
  </sheetData>
  <conditionalFormatting sqref="C2:C1048576">
    <cfRule type="expression" dxfId="40" priority="1" stopIfTrue="1">
      <formula>AND($C2&lt;&gt;"", LEFT($T2,8)="WARNING:")</formula>
    </cfRule>
    <cfRule type="expression" dxfId="39" priority="2" stopIfTrue="1">
      <formula>AND($C2&lt;&gt;"", $T2&lt;&gt;"", $T2&lt;&gt;"OK", NOT(LEFT($T2,8)="WARNING:"))</formula>
    </cfRule>
    <cfRule type="expression" dxfId="38" priority="3">
      <formula>$T2="OK"</formula>
    </cfRule>
  </conditionalFormatting>
  <conditionalFormatting sqref="E2:E1048576">
    <cfRule type="expression" dxfId="37" priority="7" stopIfTrue="1">
      <formula>AND($E2&lt;&gt;"", LEFT($W2,8)="WARNING:")</formula>
    </cfRule>
    <cfRule type="expression" dxfId="36" priority="8" stopIfTrue="1">
      <formula>AND($E2&lt;&gt;"", $W2&lt;&gt;"", $W2&lt;&gt;"OK", NOT(LEFT($W2,8)="WARNING:"))</formula>
    </cfRule>
    <cfRule type="expression" dxfId="35" priority="9">
      <formula>$W2="OK"</formula>
    </cfRule>
  </conditionalFormatting>
  <conditionalFormatting sqref="G2:G1048576">
    <cfRule type="expression" dxfId="34" priority="13" stopIfTrue="1">
      <formula>AND($G2&lt;&gt;"", LEFT($Y2,8)="WARNING:")</formula>
    </cfRule>
    <cfRule type="expression" dxfId="33" priority="14" stopIfTrue="1">
      <formula>AND($G2&lt;&gt;"", $Y2&lt;&gt;"", $Y2&lt;&gt;"OK", NOT(LEFT($Y2,8)="WARNING:"))</formula>
    </cfRule>
    <cfRule type="expression" dxfId="32" priority="15">
      <formula>$Y2="OK"</formula>
    </cfRule>
  </conditionalFormatting>
  <conditionalFormatting sqref="H2:H1048576">
    <cfRule type="expression" dxfId="31" priority="40">
      <formula>AND($H2&lt;&gt;"",ISNA(MATCH($H2,CountryNames,0)))</formula>
    </cfRule>
  </conditionalFormatting>
  <conditionalFormatting sqref="P2:P1048576">
    <cfRule type="expression" dxfId="30" priority="19" stopIfTrue="1">
      <formula>AND($P2&lt;&gt;"", LEFT($Z2,8)="WARNING:")</formula>
    </cfRule>
    <cfRule type="expression" dxfId="29" priority="20" stopIfTrue="1">
      <formula>AND($P2&lt;&gt;"", $Z2&lt;&gt;"", $Z2&lt;&gt;"OK", NOT(LEFT($Z2,8)="WARNING:"))</formula>
    </cfRule>
    <cfRule type="expression" dxfId="28" priority="21">
      <formula>$Z2="OK"</formula>
    </cfRule>
  </conditionalFormatting>
  <conditionalFormatting sqref="Q2:Q1048576">
    <cfRule type="expression" dxfId="27" priority="25" stopIfTrue="1">
      <formula>AND($Q2&lt;&gt;"", LEFT($AA2,8)="WARNING:")</formula>
    </cfRule>
    <cfRule type="expression" dxfId="26" priority="26" stopIfTrue="1">
      <formula>AND($Q2&lt;&gt;"", $AA2&lt;&gt;"", $AA2&lt;&gt;"OK", NOT(LEFT($AA2,8)="WARNING:"))</formula>
    </cfRule>
    <cfRule type="expression" dxfId="25" priority="27">
      <formula>$AA2="OK"</formula>
    </cfRule>
  </conditionalFormatting>
  <conditionalFormatting sqref="T2:T1048576">
    <cfRule type="expression" dxfId="24" priority="4" stopIfTrue="1">
      <formula>AND($C2&lt;&gt;"", LEFT($T2,8)="WARNING:")</formula>
    </cfRule>
    <cfRule type="expression" dxfId="23" priority="5" stopIfTrue="1">
      <formula>AND($C2&lt;&gt;"", $T2&lt;&gt;"", $T2&lt;&gt;"OK", NOT(LEFT($T2,8)="WARNING:"))</formula>
    </cfRule>
    <cfRule type="expression" dxfId="22" priority="6">
      <formula>$T2="OK"</formula>
    </cfRule>
  </conditionalFormatting>
  <conditionalFormatting sqref="U2:U1048576">
    <cfRule type="expression" dxfId="21" priority="31" stopIfTrue="1">
      <formula>AND($U2&lt;&gt;"", LEFT($X2,8)="WARNING:")</formula>
    </cfRule>
    <cfRule type="expression" dxfId="20" priority="32" stopIfTrue="1">
      <formula>AND($U2&lt;&gt;"", $X2&lt;&gt;"", $X2&lt;&gt;"OK", NOT(LEFT($X2,8)="WARNING:"))</formula>
    </cfRule>
    <cfRule type="expression" dxfId="19" priority="33">
      <formula>$X2="OK"</formula>
    </cfRule>
  </conditionalFormatting>
  <conditionalFormatting sqref="W2:W1048576">
    <cfRule type="expression" dxfId="18" priority="10" stopIfTrue="1">
      <formula>AND($E2&lt;&gt;"", LEFT($W2,8)="WARNING:")</formula>
    </cfRule>
    <cfRule type="expression" dxfId="17" priority="11" stopIfTrue="1">
      <formula>AND($E2&lt;&gt;"", $W2&lt;&gt;"", $W2&lt;&gt;"OK", NOT(LEFT($W2,8)="WARNING:"))</formula>
    </cfRule>
    <cfRule type="expression" dxfId="16" priority="12">
      <formula>$W2="OK"</formula>
    </cfRule>
  </conditionalFormatting>
  <conditionalFormatting sqref="X2:X1048576">
    <cfRule type="expression" dxfId="15" priority="34" stopIfTrue="1">
      <formula>AND($U2&lt;&gt;"", LEFT($X2,8)="WARNING:")</formula>
    </cfRule>
    <cfRule type="expression" dxfId="14" priority="35" stopIfTrue="1">
      <formula>AND($U2&lt;&gt;"", $X2&lt;&gt;"", $X2&lt;&gt;"OK", NOT(LEFT($X2,8)="WARNING:"))</formula>
    </cfRule>
    <cfRule type="expression" dxfId="13" priority="36">
      <formula>$X2="OK"</formula>
    </cfRule>
  </conditionalFormatting>
  <conditionalFormatting sqref="Y2:Y1048576">
    <cfRule type="expression" dxfId="12" priority="16" stopIfTrue="1">
      <formula>AND($G2&lt;&gt;"", LEFT($Y2,8)="WARNING:")</formula>
    </cfRule>
    <cfRule type="expression" dxfId="11" priority="17" stopIfTrue="1">
      <formula>AND($G2&lt;&gt;"", $Y2&lt;&gt;"", $Y2&lt;&gt;"OK", NOT(LEFT($Y2,8)="WARNING:"))</formula>
    </cfRule>
    <cfRule type="expression" dxfId="10" priority="18">
      <formula>$Y2="OK"</formula>
    </cfRule>
  </conditionalFormatting>
  <conditionalFormatting sqref="Z2:Z1048576">
    <cfRule type="expression" dxfId="9" priority="22" stopIfTrue="1">
      <formula>AND($P2&lt;&gt;"", LEFT($Z2,8)="WARNING:")</formula>
    </cfRule>
    <cfRule type="expression" dxfId="8" priority="23" stopIfTrue="1">
      <formula>AND($P2&lt;&gt;"", $Z2&lt;&gt;"", $Z2&lt;&gt;"OK", NOT(LEFT($Z2,8)="WARNING:"))</formula>
    </cfRule>
    <cfRule type="expression" dxfId="7" priority="24">
      <formula>$Z2="OK"</formula>
    </cfRule>
  </conditionalFormatting>
  <conditionalFormatting sqref="AA2:AA1048576">
    <cfRule type="expression" dxfId="6" priority="28" stopIfTrue="1">
      <formula>AND($Q2&lt;&gt;"", LEFT($AA2,8)="WARNING:")</formula>
    </cfRule>
    <cfRule type="expression" dxfId="5" priority="29" stopIfTrue="1">
      <formula>AND($Q2&lt;&gt;"", $AA2&lt;&gt;"", $AA2&lt;&gt;"OK", NOT(LEFT($AA2,8)="WARNING:"))</formula>
    </cfRule>
    <cfRule type="expression" dxfId="4" priority="30">
      <formula>$AA2="OK"</formula>
    </cfRule>
  </conditionalFormatting>
  <conditionalFormatting sqref="AB2:AB1048576">
    <cfRule type="expression" dxfId="3" priority="37" stopIfTrue="1">
      <formula>OR(AND($T2&lt;&gt;"",$T2&lt;&gt;"OK",LEFT($T2,8)&lt;&gt;"WARNING:"),AND($W2&lt;&gt;"",$W2&lt;&gt;"OK",LEFT($W2,8)&lt;&gt;"WARNING:"),AND($Y2&lt;&gt;"",$Y2&lt;&gt;"OK",LEFT($Y2,8)&lt;&gt;"WARNING:"),AND($Z2&lt;&gt;"",$Z2&lt;&gt;"OK",LEFT($Z2,8)&lt;&gt;"WARNING:"),AND($AA2&lt;&gt;"",$AA2&lt;&gt;"OK",LEFT($AA2,8)&lt;&gt;"WARNING:"),AND($X2&lt;&gt;"",$X2&lt;&gt;"OK",LEFT($X2,8)&lt;&gt;"WARNING:"))</formula>
    </cfRule>
    <cfRule type="expression" dxfId="2" priority="38" stopIfTrue="1">
      <formula>OR(LEFT($T2,8)="WARNING:",LEFT($W2,8)="WARNING:",LEFT($Y2,8)="WARNING:",LEFT($Z2,8)="WARNING:",LEFT($AA2,8)="WARNING:",LEFT($X2,8)="WARNING:")</formula>
    </cfRule>
    <cfRule type="expression" dxfId="1" priority="39">
      <formula>$AB2="OK"</formula>
    </cfRule>
  </conditionalFormatting>
  <dataValidations count="5">
    <dataValidation type="custom" errorStyle="warning" allowBlank="1" showInputMessage="1" showErrorMessage="1" errorTitle="Phone number doesn't match the SIM country" error="Enter 8-15 digits starting with the dial code of this row's SIM_Country._x000a__x000a_See IsPhoneValid for the exact reason. Click Yes to keep it and fix it later - the cell stays red." promptTitle="PhoneNr" prompt="Country code + number, e.g. +40712345678, 40712345678 or 0040712345678." sqref="C2:C1048576" xr:uid="{00000000-0002-0000-0200-000000000000}">
      <formula1>OR($C2="",AND(ISNUMBER(IF(LEFT(SUBSTITUTE(SUBSTITUTE(SUBSTITUTE(SUBSTITUTE(SUBSTITUTE(SUBSTITUTE(SUBSTITUTE(TRIM($C2&amp;""),"+","")," ",""),"-",""),"(",""),")",""),".",""),CHAR(160),""),2)="00",MID(SUBSTITUTE(SUBSTITUTE(SUBSTITUTE(SUBSTITUTE(SUBSTITUTE(SUBSTITUTE(SUBSTITUTE(TRIM($C2&amp;""),"+","")," ",""),"-",""),"(",""),")",""),".",""),CHAR(160),""),3,255),SUBSTITUTE(SUBSTITUTE(SUBSTITUTE(SUBSTITUTE(SUBSTITUTE(SUBSTITUTE(SUBSTITUTE(TRIM($C2&amp;""),"+","")," ",""),"-",""),"(",""),")",""),".",""),CHAR(160),""))+0),LEN(IF(LEFT(SUBSTITUTE(SUBSTITUTE(SUBSTITUTE(SUBSTITUTE(SUBSTITUTE(SUBSTITUTE(SUBSTITUTE(TRIM($C2&amp;""),"+","")," ",""),"-",""),"(",""),")",""),".",""),CHAR(160),""),2)="00",MID(SUBSTITUTE(SUBSTITUTE(SUBSTITUTE(SUBSTITUTE(SUBSTITUTE(SUBSTITUTE(SUBSTITUTE(TRIM($C2&amp;""),"+","")," ",""),"-",""),"(",""),")",""),".",""),CHAR(160),""),3,255),SUBSTITUTE(SUBSTITUTE(SUBSTITUTE(SUBSTITUTE(SUBSTITUTE(SUBSTITUTE(SUBSTITUTE(TRIM($C2&amp;""),"+","")," ",""),"-",""),"(",""),")",""),".",""),CHAR(160),"")))&gt;=8,LEN(IF(LEFT(SUBSTITUTE(SUBSTITUTE(SUBSTITUTE(SUBSTITUTE(SUBSTITUTE(SUBSTITUTE(SUBSTITUTE(TRIM($C2&amp;""),"+","")," ",""),"-",""),"(",""),")",""),".",""),CHAR(160),""),2)="00",MID(SUBSTITUTE(SUBSTITUTE(SUBSTITUTE(SUBSTITUTE(SUBSTITUTE(SUBSTITUTE(SUBSTITUTE(TRIM($C2&amp;""),"+","")," ",""),"-",""),"(",""),")",""),".",""),CHAR(160),""),3,255),SUBSTITUTE(SUBSTITUTE(SUBSTITUTE(SUBSTITUTE(SUBSTITUTE(SUBSTITUTE(SUBSTITUTE(TRIM($C2&amp;""),"+","")," ",""),"-",""),"(",""),")",""),".",""),CHAR(160),"")))&lt;=15,NOT(ISNA(MATCH($H2,CountryNames,0))),LEFT(IF(LEFT(SUBSTITUTE(SUBSTITUTE(SUBSTITUTE(SUBSTITUTE(SUBSTITUTE(SUBSTITUTE(SUBSTITUTE(TRIM($C2&amp;""),"+","")," ",""),"-",""),"(",""),")",""),".",""),CHAR(160),""),2)="00",MID(SUBSTITUTE(SUBSTITUTE(SUBSTITUTE(SUBSTITUTE(SUBSTITUTE(SUBSTITUTE(SUBSTITUTE(TRIM($C2&amp;""),"+","")," ",""),"-",""),"(",""),")",""),".",""),CHAR(160),""),3,255),SUBSTITUTE(SUBSTITUTE(SUBSTITUTE(SUBSTITUTE(SUBSTITUTE(SUBSTITUTE(SUBSTITUTE(TRIM($C2&amp;""),"+","")," ",""),"-",""),"(",""),")",""),".",""),CHAR(160),"")),LEN(TEXT(INDEX(CountryDialCodes,MATCH($H2,CountryNames,0)),"0")))=TEXT(INDEX(CountryDialCodes,MATCH($H2,CountryNames,0)),"0")))</formula1>
    </dataValidation>
    <dataValidation type="custom" errorStyle="warning" allowBlank="1" showInputMessage="1" showErrorMessage="1" errorTitle="ICC_ID doesn't look right" error="An ICC_ID must be 18-22 digits, digits only, starting with 89._x000a__x000a_See ICC_Check for the exact reason, including the Luhn check digit." promptTitle="ICC_ID" prompt="18-22 digits, starts with 89, no spaces or dashes. Column is formatted as Text." sqref="E2:E1048576" xr:uid="{00000000-0002-0000-0200-000001000000}">
      <formula1>OR($E2="",AND(ISNUMBER(TRIM($E2&amp;"")+0),LEFT(TRIM($E2&amp;""),2)="89",LEN(TRIM($E2&amp;""))&gt;=18,LEN(TRIM($E2&amp;""))&lt;=22))</formula1>
    </dataValidation>
    <dataValidation type="custom" errorStyle="warning" allowBlank="1" showInputMessage="1" showErrorMessage="1" errorTitle="IMEI doesn't look right" error="An IMEI is exactly 15 digits, digits only._x000a__x000a_See IMEI_Check for details." promptTitle="IMEI" prompt="Exactly 15 digits, e.g. 352099001760892." sqref="U2:U1048576" xr:uid="{00000000-0002-0000-0200-000002000000}">
      <formula1>OR($U2="",AND(ISNUMBER(TRIM($U2&amp;"")+0),LEN(TRIM($U2&amp;""))=15))</formula1>
    </dataValidation>
    <dataValidation type="custom" errorStyle="warning" allowBlank="1" showInputMessage="1" showErrorMessage="1" errorTitle="StartDate must be day-month-year" error="Either a real date, or text in the form dd-mm-yyyy (15-03-2026)._x000a__x000a_See Date_Check for the exact reason." promptTitle="StartDate" prompt="dd-mm-yyyy, e.g. 15-03-2026. A real date is fine too." sqref="G2:G1048576" xr:uid="{00000000-0002-0000-0200-000003000000}">
      <formula1>OR($G2="",ISNUMBER($G2),AND(LEN(TRIM($G2&amp;""))=10,MID(TRIM($G2&amp;""),3,1)=MID(TRIM($G2&amp;""),6,1),NOT(ISERROR(FIND(MID(TRIM($G2&amp;""),3,1),"-/.")))))</formula1>
    </dataValidation>
    <dataValidation type="list" errorStyle="warning" allowBlank="1" showErrorMessage="1" errorTitle="Unknown country" error="Pick a country from the list, or add it to tblCountries on the Config sheet." sqref="H2:H1048576" xr:uid="{00000000-0002-0000-0200-000004000000}">
      <formula1>CountryNames</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2">
        <x14:dataValidation type="list" errorStyle="warning" allowBlank="1" showErrorMessage="1" errorTitle="Invalid Status" error="Status must be Active, Deactivated or Suspended." xr:uid="{00000000-0002-0000-0200-000005000000}">
          <x14:formula1>
            <xm:f>Config!$G$2:$G$4</xm:f>
          </x14:formula1>
          <xm:sqref>P2:P1048576</xm:sqref>
        </x14:dataValidation>
        <x14:dataValidation type="list" errorStyle="warning" allowBlank="1" showErrorMessage="1" errorTitle="Invalid SIM Type" error="SIM Type must be eSIM or Physical SIM." xr:uid="{00000000-0002-0000-0200-000006000000}">
          <x14:formula1>
            <xm:f>Config!$H$2:$H$3</xm:f>
          </x14:formula1>
          <xm:sqref>Q2:Q1048576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Readme</vt:lpstr>
      <vt:lpstr>Config</vt:lpstr>
      <vt:lpstr>query</vt:lpstr>
      <vt:lpstr>CountryDialCodes</vt:lpstr>
      <vt:lpstr>CountryNames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Ilie Danut Mihai</cp:lastModifiedBy>
  <dcterms:created xsi:type="dcterms:W3CDTF">2026-07-30T08:12:32Z</dcterms:created>
  <dcterms:modified xsi:type="dcterms:W3CDTF">2026-10-13T17:25:31Z</dcterms:modified>
</cp:coreProperties>
</file>